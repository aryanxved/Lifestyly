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yan\OneDrive\Documents\GitHub\Lifestyly\"/>
    </mc:Choice>
  </mc:AlternateContent>
  <xr:revisionPtr revIDLastSave="0" documentId="13_ncr:1_{E8D9A3C1-B462-4FF9-BF8C-E0C96F043877}" xr6:coauthVersionLast="45" xr6:coauthVersionMax="45" xr10:uidLastSave="{00000000-0000-0000-0000-000000000000}"/>
  <bookViews>
    <workbookView xWindow="-110" yWindow="-110" windowWidth="19420" windowHeight="10420" activeTab="1" xr2:uid="{11B7EE0D-798E-4711-B94D-95A4B4625372}"/>
  </bookViews>
  <sheets>
    <sheet name="Home" sheetId="1" r:id="rId1"/>
    <sheet name="Scheduling" sheetId="2" r:id="rId2"/>
    <sheet name="Grades" sheetId="3" r:id="rId3"/>
    <sheet name="Data Cen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 l="1"/>
  <c r="H49" i="2"/>
  <c r="L18" i="1" s="1"/>
  <c r="Z10" i="3"/>
  <c r="H30" i="2" l="1"/>
  <c r="J21" i="1" s="1"/>
  <c r="C39" i="3"/>
  <c r="K21" i="1" s="1"/>
  <c r="J17" i="1"/>
  <c r="J14" i="1"/>
  <c r="J15" i="1"/>
  <c r="J16" i="1"/>
  <c r="K14" i="1"/>
  <c r="K15" i="1"/>
  <c r="K16" i="1"/>
  <c r="K17" i="1"/>
  <c r="L14" i="1"/>
  <c r="L15" i="1"/>
  <c r="L16" i="1"/>
  <c r="L17" i="1"/>
  <c r="L13" i="1"/>
  <c r="K13" i="1"/>
  <c r="J13" i="1"/>
  <c r="H14" i="1"/>
  <c r="H15" i="1"/>
  <c r="H16" i="1"/>
  <c r="G14" i="1"/>
  <c r="G15" i="1"/>
  <c r="G16" i="1"/>
  <c r="G17" i="1"/>
  <c r="F14" i="1"/>
  <c r="F15" i="1"/>
  <c r="F16" i="1"/>
  <c r="F17" i="1"/>
  <c r="H13" i="1"/>
  <c r="G13" i="1"/>
  <c r="F13" i="1"/>
  <c r="Z6" i="3"/>
  <c r="Z32" i="3"/>
  <c r="Z9" i="3"/>
  <c r="L21" i="1" l="1"/>
  <c r="C38" i="3"/>
  <c r="F21" i="1" s="1"/>
  <c r="Z33" i="3" l="1"/>
  <c r="Z7" i="3" l="1"/>
  <c r="Z8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4" i="3"/>
  <c r="Z35" i="3"/>
  <c r="Z36" i="3"/>
  <c r="Z37" i="3"/>
  <c r="Z5" i="3"/>
  <c r="Z38" i="3" l="1"/>
  <c r="Z39" i="3" s="1"/>
  <c r="G21" i="1" s="1"/>
</calcChain>
</file>

<file path=xl/sharedStrings.xml><?xml version="1.0" encoding="utf-8"?>
<sst xmlns="http://schemas.openxmlformats.org/spreadsheetml/2006/main" count="119" uniqueCount="67">
  <si>
    <t>Home</t>
  </si>
  <si>
    <t>Scheduling</t>
  </si>
  <si>
    <t>Grades</t>
  </si>
  <si>
    <t>Data Center</t>
  </si>
  <si>
    <t>Name:</t>
  </si>
  <si>
    <t>Class:</t>
  </si>
  <si>
    <t>Date:</t>
  </si>
  <si>
    <t>Assessment Name:</t>
  </si>
  <si>
    <t>Class Name:</t>
  </si>
  <si>
    <t>Assessment Type:</t>
  </si>
  <si>
    <t>Assessment Weight</t>
  </si>
  <si>
    <t>Grade Expected:</t>
  </si>
  <si>
    <t>Grade Received:</t>
  </si>
  <si>
    <t>Hours Studied:</t>
  </si>
  <si>
    <t>Grade +/-</t>
  </si>
  <si>
    <t>Math 115</t>
  </si>
  <si>
    <t>Status:</t>
  </si>
  <si>
    <t>Task Name:</t>
  </si>
  <si>
    <t>a</t>
  </si>
  <si>
    <t>Incomplete</t>
  </si>
  <si>
    <t>Clean Up Room</t>
  </si>
  <si>
    <t>Personal</t>
  </si>
  <si>
    <t>Math 116</t>
  </si>
  <si>
    <t>Crowdmark Assignment 9</t>
  </si>
  <si>
    <t xml:space="preserve">Mobius Assignment </t>
  </si>
  <si>
    <t>Phys 115</t>
  </si>
  <si>
    <t>Due Date:</t>
  </si>
  <si>
    <t>Statics Quiz</t>
  </si>
  <si>
    <t>Equilibrium Assignment</t>
  </si>
  <si>
    <t>Chem 102</t>
  </si>
  <si>
    <t>Weekly Reflection</t>
  </si>
  <si>
    <t>Msci 100</t>
  </si>
  <si>
    <t>Vectors Practice</t>
  </si>
  <si>
    <t>Attribute:</t>
  </si>
  <si>
    <t>Fitness</t>
  </si>
  <si>
    <t>30 Reps on the Bench Press</t>
  </si>
  <si>
    <t>Buy Milk</t>
  </si>
  <si>
    <t>Shopping</t>
  </si>
  <si>
    <t>Buy Orange Juice</t>
  </si>
  <si>
    <t>Get Cake</t>
  </si>
  <si>
    <t>Jake's Birthday</t>
  </si>
  <si>
    <t>Repair Sink</t>
  </si>
  <si>
    <t>Maintainance</t>
  </si>
  <si>
    <t>Group Assignment</t>
  </si>
  <si>
    <t>VBA Team Term Project</t>
  </si>
  <si>
    <t>Crowdmark #7</t>
  </si>
  <si>
    <t>Assignment</t>
  </si>
  <si>
    <t>Total Hours Studied:</t>
  </si>
  <si>
    <t>Sum of Grades +/-:</t>
  </si>
  <si>
    <t>Average of Grades +/-:</t>
  </si>
  <si>
    <t>Complete</t>
  </si>
  <si>
    <t>Equilibrium</t>
  </si>
  <si>
    <t>Static</t>
  </si>
  <si>
    <t>Quiz</t>
  </si>
  <si>
    <t>Calculus</t>
  </si>
  <si>
    <t>Midterm</t>
  </si>
  <si>
    <t>Preformance:</t>
  </si>
  <si>
    <t>Total Hours Studied Breakdown:</t>
  </si>
  <si>
    <t>Total Grade Entries:</t>
  </si>
  <si>
    <t>Number of Entries:</t>
  </si>
  <si>
    <t>Total Entries (To-Do):</t>
  </si>
  <si>
    <t>Total Entries (Grades):</t>
  </si>
  <si>
    <t>Total Entries Data Collected:</t>
  </si>
  <si>
    <t xml:space="preserve">Whats New: </t>
  </si>
  <si>
    <t>Version 1.0.0 Alpha</t>
  </si>
  <si>
    <t>Data on Instructions &amp; Help</t>
  </si>
  <si>
    <t>Tasks Remaining: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</si>
</sst>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339966"/>
      <name val="Calibri"/>
      <family val="2"/>
    </font>
    <font>
      <sz val="16"/>
      <color rgb="FF008000"/>
      <name val="Calibri"/>
      <family val="2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indexed="17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1" fillId="2" borderId="0" xfId="1" applyFill="1" applyAlignment="1">
      <alignment horizontal="center"/>
    </xf>
    <xf numFmtId="0" fontId="4" fillId="2" borderId="0" xfId="1" applyFont="1" applyFill="1" applyAlignment="1">
      <alignment horizontal="center"/>
    </xf>
    <xf numFmtId="0" fontId="0" fillId="4" borderId="0" xfId="0" applyFill="1"/>
    <xf numFmtId="0" fontId="7" fillId="2" borderId="0" xfId="1" applyFont="1" applyFill="1" applyAlignment="1">
      <alignment horizontal="center"/>
    </xf>
    <xf numFmtId="0" fontId="0" fillId="5" borderId="0" xfId="0" applyFill="1"/>
    <xf numFmtId="0" fontId="4" fillId="5" borderId="0" xfId="0" applyFont="1" applyFill="1"/>
    <xf numFmtId="0" fontId="0" fillId="5" borderId="0" xfId="0" applyFill="1" applyBorder="1"/>
    <xf numFmtId="0" fontId="6" fillId="5" borderId="0" xfId="0" applyFont="1" applyFill="1" applyBorder="1" applyAlignment="1">
      <alignment vertical="top"/>
    </xf>
    <xf numFmtId="14" fontId="6" fillId="5" borderId="0" xfId="0" applyNumberFormat="1" applyFont="1" applyFill="1" applyAlignment="1">
      <alignment vertical="top"/>
    </xf>
    <xf numFmtId="0" fontId="6" fillId="5" borderId="0" xfId="0" applyFont="1" applyFill="1" applyAlignment="1">
      <alignment vertical="top"/>
    </xf>
    <xf numFmtId="14" fontId="6" fillId="5" borderId="0" xfId="0" applyNumberFormat="1" applyFont="1" applyFill="1" applyBorder="1" applyAlignment="1">
      <alignment vertical="top"/>
    </xf>
    <xf numFmtId="0" fontId="0" fillId="8" borderId="0" xfId="0" applyFill="1"/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0" fillId="9" borderId="0" xfId="0" applyFill="1"/>
    <xf numFmtId="0" fontId="0" fillId="9" borderId="0" xfId="0" applyFill="1" applyBorder="1"/>
    <xf numFmtId="0" fontId="0" fillId="0" borderId="0" xfId="0" applyBorder="1"/>
    <xf numFmtId="0" fontId="10" fillId="0" borderId="0" xfId="0" applyFont="1" applyFill="1" applyBorder="1"/>
    <xf numFmtId="0" fontId="4" fillId="5" borderId="0" xfId="0" applyFont="1" applyFill="1" applyBorder="1"/>
    <xf numFmtId="0" fontId="11" fillId="2" borderId="0" xfId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13" fillId="2" borderId="0" xfId="1" applyFont="1" applyFill="1" applyAlignment="1">
      <alignment horizontal="center"/>
    </xf>
    <xf numFmtId="0" fontId="8" fillId="6" borderId="2" xfId="2" applyBorder="1"/>
    <xf numFmtId="0" fontId="8" fillId="6" borderId="1" xfId="2" applyBorder="1"/>
    <xf numFmtId="14" fontId="8" fillId="6" borderId="1" xfId="2" applyNumberFormat="1" applyBorder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3" fillId="0" borderId="0" xfId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0" applyFont="1" applyFill="1"/>
    <xf numFmtId="164" fontId="0" fillId="0" borderId="0" xfId="0" applyNumberFormat="1" applyFill="1"/>
    <xf numFmtId="164" fontId="6" fillId="0" borderId="0" xfId="0" applyNumberFormat="1" applyFont="1" applyFill="1" applyBorder="1" applyAlignment="1">
      <alignment vertical="top"/>
    </xf>
    <xf numFmtId="164" fontId="6" fillId="0" borderId="0" xfId="0" applyNumberFormat="1" applyFont="1" applyFill="1" applyAlignment="1">
      <alignment vertical="top"/>
    </xf>
    <xf numFmtId="0" fontId="0" fillId="0" borderId="0" xfId="0" applyFill="1" applyBorder="1"/>
    <xf numFmtId="0" fontId="6" fillId="0" borderId="0" xfId="0" applyFont="1" applyFill="1" applyAlignment="1">
      <alignment vertical="top"/>
    </xf>
    <xf numFmtId="0" fontId="14" fillId="7" borderId="0" xfId="3" applyFont="1"/>
    <xf numFmtId="164" fontId="0" fillId="0" borderId="0" xfId="0" applyNumberFormat="1" applyFill="1" applyBorder="1"/>
    <xf numFmtId="0" fontId="6" fillId="0" borderId="0" xfId="0" applyFont="1" applyFill="1" applyBorder="1" applyAlignment="1">
      <alignment vertical="top"/>
    </xf>
    <xf numFmtId="14" fontId="8" fillId="6" borderId="2" xfId="2" applyNumberFormat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15" fontId="0" fillId="10" borderId="0" xfId="0" applyNumberFormat="1" applyFill="1"/>
    <xf numFmtId="0" fontId="18" fillId="3" borderId="0" xfId="0" applyFont="1" applyFill="1"/>
    <xf numFmtId="0" fontId="2" fillId="3" borderId="0" xfId="0" applyFont="1" applyFill="1" applyAlignment="1">
      <alignment horizontal="center" vertical="center"/>
    </xf>
    <xf numFmtId="0" fontId="3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1" fillId="2" borderId="0" xfId="1" applyFill="1" applyAlignment="1">
      <alignment horizontal="center"/>
    </xf>
    <xf numFmtId="0" fontId="7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0" fillId="13" borderId="0" xfId="0" applyFill="1"/>
  </cellXfs>
  <cellStyles count="4">
    <cellStyle name="20% - Accent1" xfId="2" builtinId="30"/>
    <cellStyle name="40% - Accent1" xfId="3" builtinId="31"/>
    <cellStyle name="Hyperlink" xfId="1" builtinId="8"/>
    <cellStyle name="Normal" xfId="0" builtinId="0"/>
  </cellStyles>
  <dxfs count="2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0805" y="194824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698500</xdr:colOff>
      <xdr:row>8</xdr:row>
      <xdr:rowOff>78015</xdr:rowOff>
    </xdr:from>
    <xdr:ext cx="161710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712700" y="1919515"/>
          <a:ext cx="161710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Priority</a:t>
          </a: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57150</xdr:rowOff>
        </xdr:from>
        <xdr:to>
          <xdr:col>3</xdr:col>
          <xdr:colOff>495300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To-Do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088862" y="1211339"/>
          <a:ext cx="6608338" cy="6359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9</xdr:row>
      <xdr:rowOff>21167</xdr:rowOff>
    </xdr:from>
    <xdr:to>
      <xdr:col>3</xdr:col>
      <xdr:colOff>571500</xdr:colOff>
      <xdr:row>10</xdr:row>
      <xdr:rowOff>169333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1750" y="1513417"/>
          <a:ext cx="2381250" cy="328083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Home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870700" y="114300"/>
          <a:ext cx="9982200" cy="7874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1447800</xdr:colOff>
      <xdr:row>10</xdr:row>
      <xdr:rowOff>88900</xdr:rowOff>
    </xdr:to>
    <xdr:pic macro="[0]!Sheet2.HelpToDo">
      <xdr:nvPicPr>
        <xdr:cNvPr id="14" name="Graphic 13" descr="Information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2019300"/>
          <a:ext cx="292100" cy="292100"/>
        </a:xfrm>
        <a:prstGeom prst="rect">
          <a:avLst/>
        </a:prstGeom>
      </xdr:spPr>
    </xdr:pic>
    <xdr:clientData/>
  </xdr:twoCellAnchor>
  <xdr:twoCellAnchor editAs="oneCell">
    <xdr:from>
      <xdr:col>9</xdr:col>
      <xdr:colOff>1473200</xdr:colOff>
      <xdr:row>8</xdr:row>
      <xdr:rowOff>165100</xdr:rowOff>
    </xdr:from>
    <xdr:to>
      <xdr:col>9</xdr:col>
      <xdr:colOff>1765300</xdr:colOff>
      <xdr:row>10</xdr:row>
      <xdr:rowOff>76200</xdr:rowOff>
    </xdr:to>
    <xdr:pic macro="[0]!Sheet2.HelpTask"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62100" y="2006600"/>
          <a:ext cx="292100" cy="292100"/>
        </a:xfrm>
        <a:prstGeom prst="rect">
          <a:avLst/>
        </a:prstGeom>
      </xdr:spPr>
    </xdr:pic>
    <xdr:clientData/>
  </xdr:twoCellAnchor>
  <xdr:twoCellAnchor>
    <xdr:from>
      <xdr:col>7</xdr:col>
      <xdr:colOff>203200</xdr:colOff>
      <xdr:row>19</xdr:row>
      <xdr:rowOff>50800</xdr:rowOff>
    </xdr:from>
    <xdr:to>
      <xdr:col>7</xdr:col>
      <xdr:colOff>2641600</xdr:colOff>
      <xdr:row>21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25000" y="4495800"/>
          <a:ext cx="2438400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Preformace Section indicates</a:t>
          </a:r>
          <a:r>
            <a:rPr lang="en-US" sz="1100" baseline="0"/>
            <a:t> the predicted vs Actual mark comparison</a:t>
          </a:r>
          <a:endParaRPr lang="en-US" sz="1100"/>
        </a:p>
      </xdr:txBody>
    </xdr:sp>
    <xdr:clientData/>
  </xdr:twoCellAnchor>
  <xdr:oneCellAnchor>
    <xdr:from>
      <xdr:col>4</xdr:col>
      <xdr:colOff>330200</xdr:colOff>
      <xdr:row>17</xdr:row>
      <xdr:rowOff>63500</xdr:rowOff>
    </xdr:from>
    <xdr:ext cx="1415143" cy="47171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768600" y="4000500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Grades:</a:t>
          </a:r>
        </a:p>
      </xdr:txBody>
    </xdr:sp>
    <xdr:clientData/>
  </xdr:oneCellAnchor>
  <xdr:oneCellAnchor>
    <xdr:from>
      <xdr:col>0</xdr:col>
      <xdr:colOff>0</xdr:colOff>
      <xdr:row>30</xdr:row>
      <xdr:rowOff>238462</xdr:rowOff>
    </xdr:from>
    <xdr:ext cx="21475701" cy="428771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 rot="10800000" flipH="1" flipV="1">
          <a:off x="0" y="5953462"/>
          <a:ext cx="21475701" cy="4287712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4400" u="sng"/>
            <a:t>Get Started </a:t>
          </a:r>
        </a:p>
        <a:p>
          <a:pPr algn="ctr"/>
          <a:endParaRPr lang="en-US" sz="4400"/>
        </a:p>
        <a:p>
          <a:pPr algn="ctr"/>
          <a:r>
            <a:rPr lang="en-US" sz="3600"/>
            <a:t>- Visit the Data Center</a:t>
          </a:r>
          <a:r>
            <a:rPr lang="en-US" sz="3600" baseline="0"/>
            <a:t> to learn about the </a:t>
          </a:r>
          <a:r>
            <a:rPr lang="en-US" sz="3600" b="1" baseline="0"/>
            <a:t>Lifesytly</a:t>
          </a:r>
        </a:p>
        <a:p>
          <a:pPr algn="ctr"/>
          <a:endParaRPr lang="en-US" sz="3600" b="1" baseline="0"/>
        </a:p>
        <a:p>
          <a:pPr algn="ctr"/>
          <a:r>
            <a:rPr lang="en-US" sz="3600" b="0" baseline="0"/>
            <a:t>This is your homepage, it will provide you an overview of the most important details needed to manage your life</a:t>
          </a:r>
        </a:p>
        <a:p>
          <a:pPr algn="ctr"/>
          <a:endParaRPr lang="en-US" sz="3600" b="0" baseline="0"/>
        </a:p>
        <a:p>
          <a:pPr algn="ctr"/>
          <a:r>
            <a:rPr lang="en-US" sz="1800" b="0"/>
            <a:t>LifeStyly</a:t>
          </a:r>
        </a:p>
        <a:p>
          <a:pPr algn="ctr"/>
          <a:r>
            <a:rPr lang="en-US" sz="1800" b="0"/>
            <a:t>"The</a:t>
          </a:r>
          <a:r>
            <a:rPr lang="en-US" sz="1800" b="0" baseline="0"/>
            <a:t> workbook designed to manage the busy student lifestyle"</a:t>
          </a:r>
          <a:endParaRPr lang="en-US" sz="1800" b="0"/>
        </a:p>
      </xdr:txBody>
    </xdr:sp>
    <xdr:clientData/>
  </xdr:oneCellAnchor>
  <xdr:twoCellAnchor>
    <xdr:from>
      <xdr:col>0</xdr:col>
      <xdr:colOff>130256</xdr:colOff>
      <xdr:row>16</xdr:row>
      <xdr:rowOff>130257</xdr:rowOff>
    </xdr:from>
    <xdr:to>
      <xdr:col>3</xdr:col>
      <xdr:colOff>390769</xdr:colOff>
      <xdr:row>28</xdr:row>
      <xdr:rowOff>48846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F45823B-1839-4757-A6CC-0CE315EFF45A}"/>
            </a:ext>
          </a:extLst>
        </xdr:cNvPr>
        <xdr:cNvSpPr txBox="1"/>
      </xdr:nvSpPr>
      <xdr:spPr>
        <a:xfrm>
          <a:off x="130256" y="3728590"/>
          <a:ext cx="2067821" cy="304474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Home</a:t>
          </a:r>
          <a:r>
            <a:rPr lang="en-US" sz="1800" b="1" baseline="0"/>
            <a:t> Page Button</a:t>
          </a:r>
          <a:r>
            <a:rPr lang="en-US" sz="1800" baseline="0"/>
            <a:t>:</a:t>
          </a:r>
        </a:p>
        <a:p>
          <a:endParaRPr lang="en-US" sz="1800" baseline="0"/>
        </a:p>
        <a:p>
          <a:r>
            <a:rPr lang="en-US" sz="1600" baseline="0"/>
            <a:t>The Add To-Do button on the homepage is for quick access purposes, information will show up on scheduling page. This page is designed for an overview of the other pages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426357</xdr:colOff>
      <xdr:row>27</xdr:row>
      <xdr:rowOff>99786</xdr:rowOff>
    </xdr:from>
    <xdr:to>
      <xdr:col>23</xdr:col>
      <xdr:colOff>235858</xdr:colOff>
      <xdr:row>29</xdr:row>
      <xdr:rowOff>90715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3120007" y="5719536"/>
          <a:ext cx="2247901" cy="3846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12</xdr:row>
          <xdr:rowOff>133350</xdr:rowOff>
        </xdr:from>
        <xdr:to>
          <xdr:col>3</xdr:col>
          <xdr:colOff>425450</xdr:colOff>
          <xdr:row>15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Add To-Do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16</xdr:row>
          <xdr:rowOff>6350</xdr:rowOff>
        </xdr:from>
        <xdr:to>
          <xdr:col>3</xdr:col>
          <xdr:colOff>412750</xdr:colOff>
          <xdr:row>18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Add Task Entry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870805" y="190379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9088862" y="1173239"/>
          <a:ext cx="6601988" cy="62955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8</xdr:row>
      <xdr:rowOff>122766</xdr:rowOff>
    </xdr:from>
    <xdr:to>
      <xdr:col>3</xdr:col>
      <xdr:colOff>571500</xdr:colOff>
      <xdr:row>11</xdr:row>
      <xdr:rowOff>203199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1750" y="1951566"/>
          <a:ext cx="2368550" cy="651933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Scheduling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6870700" y="114300"/>
          <a:ext cx="9969500" cy="7620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>
              <a:solidFill>
                <a:schemeClr val="bg1"/>
              </a:solidFill>
            </a:rPr>
            <a:t>Scheduling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1452716</xdr:colOff>
      <xdr:row>10</xdr:row>
      <xdr:rowOff>88900</xdr:rowOff>
    </xdr:to>
    <xdr:pic macro="[0]!Sheet2.HelpToDo">
      <xdr:nvPicPr>
        <xdr:cNvPr id="25" name="Graphic 24" descr="Information with solid fill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1974850"/>
          <a:ext cx="292100" cy="279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19</xdr:row>
          <xdr:rowOff>50800</xdr:rowOff>
        </xdr:from>
        <xdr:to>
          <xdr:col>3</xdr:col>
          <xdr:colOff>393700</xdr:colOff>
          <xdr:row>22</xdr:row>
          <xdr:rowOff>76200</xdr:rowOff>
        </xdr:to>
        <xdr:sp macro="" textlink="">
          <xdr:nvSpPr>
            <xdr:cNvPr id="2051" name="DeleteToD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0</xdr:colOff>
      <xdr:row>29</xdr:row>
      <xdr:rowOff>78015</xdr:rowOff>
    </xdr:from>
    <xdr:ext cx="766044" cy="405432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2509500" y="1906815"/>
          <a:ext cx="76604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</xdr:col>
      <xdr:colOff>752577</xdr:colOff>
      <xdr:row>29</xdr:row>
      <xdr:rowOff>165100</xdr:rowOff>
    </xdr:from>
    <xdr:ext cx="297016" cy="292100"/>
    <xdr:pic macro="[0]!Sheet2.HelpTask"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262077" y="1993900"/>
          <a:ext cx="297016" cy="292100"/>
        </a:xfrm>
        <a:prstGeom prst="rect">
          <a:avLst/>
        </a:prstGeom>
      </xdr:spPr>
    </xdr:pic>
    <xdr:clientData/>
  </xdr:oneCellAnchor>
  <xdr:twoCellAnchor editAs="oneCell">
    <xdr:from>
      <xdr:col>8</xdr:col>
      <xdr:colOff>457200</xdr:colOff>
      <xdr:row>10</xdr:row>
      <xdr:rowOff>165100</xdr:rowOff>
    </xdr:from>
    <xdr:to>
      <xdr:col>12</xdr:col>
      <xdr:colOff>215900</xdr:colOff>
      <xdr:row>29</xdr:row>
      <xdr:rowOff>63500</xdr:rowOff>
    </xdr:to>
    <xdr:pic>
      <xdr:nvPicPr>
        <xdr:cNvPr id="3" name="Picture 2" descr="Wall of advesive notes with one standing ou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7100" y="2374900"/>
          <a:ext cx="7772400" cy="3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457200</xdr:colOff>
      <xdr:row>31</xdr:row>
      <xdr:rowOff>50800</xdr:rowOff>
    </xdr:from>
    <xdr:to>
      <xdr:col>10</xdr:col>
      <xdr:colOff>2908300</xdr:colOff>
      <xdr:row>48</xdr:row>
      <xdr:rowOff>59957</xdr:rowOff>
    </xdr:to>
    <xdr:pic>
      <xdr:nvPicPr>
        <xdr:cNvPr id="10" name="Picture 9" descr="Person creating a calendar with adhesive notes on a blackboard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7100" y="6591300"/>
          <a:ext cx="5308600" cy="3539757"/>
        </a:xfrm>
        <a:prstGeom prst="rect">
          <a:avLst/>
        </a:prstGeom>
      </xdr:spPr>
    </xdr:pic>
    <xdr:clientData/>
  </xdr:twoCellAnchor>
  <xdr:twoCellAnchor editAs="oneCell">
    <xdr:from>
      <xdr:col>10</xdr:col>
      <xdr:colOff>3035300</xdr:colOff>
      <xdr:row>30</xdr:row>
      <xdr:rowOff>190501</xdr:rowOff>
    </xdr:from>
    <xdr:to>
      <xdr:col>12</xdr:col>
      <xdr:colOff>279400</xdr:colOff>
      <xdr:row>48</xdr:row>
      <xdr:rowOff>76201</xdr:rowOff>
    </xdr:to>
    <xdr:pic>
      <xdr:nvPicPr>
        <xdr:cNvPr id="12" name="Picture 11" descr="Smoke stacks at a factory against a blue sky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92700" y="6527801"/>
          <a:ext cx="2400300" cy="3619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139700</xdr:colOff>
          <xdr:row>23</xdr:row>
          <xdr:rowOff>38100</xdr:rowOff>
        </xdr:from>
        <xdr:to>
          <xdr:col>3</xdr:col>
          <xdr:colOff>355600</xdr:colOff>
          <xdr:row>26</xdr:row>
          <xdr:rowOff>38100</xdr:rowOff>
        </xdr:to>
        <xdr:sp macro="" textlink="">
          <xdr:nvSpPr>
            <xdr:cNvPr id="2052" name="StatusUpda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63500</xdr:colOff>
      <xdr:row>28</xdr:row>
      <xdr:rowOff>25400</xdr:rowOff>
    </xdr:from>
    <xdr:ext cx="297016" cy="292100"/>
    <xdr:pic macro="[0]!Sheet2.HelpTask">
      <xdr:nvPicPr>
        <xdr:cNvPr id="17" name="Graphic 16" descr="Information with solid fill">
          <a:extLst>
            <a:ext uri="{FF2B5EF4-FFF2-40B4-BE49-F238E27FC236}">
              <a16:creationId xmlns:a16="http://schemas.microsoft.com/office/drawing/2014/main" id="{156AC099-980C-4368-9281-532E7DDDE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00" y="5956300"/>
          <a:ext cx="297016" cy="292100"/>
        </a:xfrm>
        <a:prstGeom prst="rect">
          <a:avLst/>
        </a:prstGeom>
      </xdr:spPr>
    </xdr:pic>
    <xdr:clientData/>
  </xdr:oneCellAnchor>
  <xdr:twoCellAnchor>
    <xdr:from>
      <xdr:col>0</xdr:col>
      <xdr:colOff>393700</xdr:colOff>
      <xdr:row>27</xdr:row>
      <xdr:rowOff>177800</xdr:rowOff>
    </xdr:from>
    <xdr:to>
      <xdr:col>3</xdr:col>
      <xdr:colOff>495300</xdr:colOff>
      <xdr:row>30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18269EF-8D0A-4DA9-9399-B0EB71364D85}"/>
            </a:ext>
          </a:extLst>
        </xdr:cNvPr>
        <xdr:cNvSpPr txBox="1"/>
      </xdr:nvSpPr>
      <xdr:spPr>
        <a:xfrm>
          <a:off x="393700" y="5905500"/>
          <a:ext cx="1930400" cy="46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Click</a:t>
          </a:r>
          <a:r>
            <a:rPr lang="en-US" sz="1800" baseline="0"/>
            <a:t> icon for help</a:t>
          </a:r>
          <a:endParaRPr lang="en-US" sz="1800"/>
        </a:p>
      </xdr:txBody>
    </xdr:sp>
    <xdr:clientData/>
  </xdr:twoCellAnchor>
  <xdr:twoCellAnchor>
    <xdr:from>
      <xdr:col>0</xdr:col>
      <xdr:colOff>101600</xdr:colOff>
      <xdr:row>31</xdr:row>
      <xdr:rowOff>25400</xdr:rowOff>
    </xdr:from>
    <xdr:to>
      <xdr:col>3</xdr:col>
      <xdr:colOff>482600</xdr:colOff>
      <xdr:row>48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15F042F-0208-4619-B11D-DFB40EFDBA56}"/>
            </a:ext>
          </a:extLst>
        </xdr:cNvPr>
        <xdr:cNvSpPr txBox="1"/>
      </xdr:nvSpPr>
      <xdr:spPr>
        <a:xfrm>
          <a:off x="101600" y="6565900"/>
          <a:ext cx="2209800" cy="36576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/>
            <a:t>Buttons</a:t>
          </a:r>
          <a:r>
            <a:rPr lang="en-US" sz="1600" baseline="0"/>
            <a:t> Made Easy!</a:t>
          </a:r>
        </a:p>
        <a:p>
          <a:pPr algn="ctr"/>
          <a:endParaRPr lang="en-US" sz="1600" baseline="0"/>
        </a:p>
        <a:p>
          <a:pPr algn="l"/>
          <a:r>
            <a:rPr lang="en-US" sz="1600" b="1" baseline="0"/>
            <a:t>How to Use:</a:t>
          </a:r>
        </a:p>
        <a:p>
          <a:pPr algn="l"/>
          <a:endParaRPr lang="en-US" sz="1600" baseline="0"/>
        </a:p>
        <a:p>
          <a:pPr algn="l"/>
          <a:r>
            <a:rPr lang="en-US" sz="1600" baseline="0"/>
            <a:t>Click on the row you want to change and then either press the delete button or Complete/incomplete button to perform action.</a:t>
          </a:r>
        </a:p>
        <a:p>
          <a:pPr algn="l"/>
          <a:endParaRPr lang="en-US" sz="1600" baseline="0"/>
        </a:p>
        <a:p>
          <a:pPr algn="l"/>
          <a:r>
            <a:rPr lang="en-US" sz="1600" u="sng" baseline="0"/>
            <a:t>Designed to work on mobile as well</a:t>
          </a:r>
          <a:endParaRPr lang="en-US" sz="1600" u="sng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82550</xdr:colOff>
          <xdr:row>0</xdr:row>
          <xdr:rowOff>120650</xdr:rowOff>
        </xdr:from>
        <xdr:to>
          <xdr:col>29</xdr:col>
          <xdr:colOff>539750</xdr:colOff>
          <xdr:row>4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Grade Infromation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50800</xdr:colOff>
          <xdr:row>5</xdr:row>
          <xdr:rowOff>50800</xdr:rowOff>
        </xdr:from>
        <xdr:to>
          <xdr:col>29</xdr:col>
          <xdr:colOff>508000</xdr:colOff>
          <xdr:row>10</xdr:row>
          <xdr:rowOff>107950</xdr:rowOff>
        </xdr:to>
        <xdr:sp macro="" textlink="">
          <xdr:nvSpPr>
            <xdr:cNvPr id="3074" name="DeleteGrad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323491</xdr:colOff>
      <xdr:row>5</xdr:row>
      <xdr:rowOff>35942</xdr:rowOff>
    </xdr:from>
    <xdr:to>
      <xdr:col>25</xdr:col>
      <xdr:colOff>335472</xdr:colOff>
      <xdr:row>42</xdr:row>
      <xdr:rowOff>35943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23491" y="1353867"/>
          <a:ext cx="15287924" cy="664952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Need</a:t>
          </a:r>
          <a:r>
            <a:rPr lang="en-US" sz="2000" baseline="0"/>
            <a:t> Help? </a:t>
          </a:r>
        </a:p>
        <a:p>
          <a:endParaRPr lang="en-US" sz="2000" baseline="0"/>
        </a:p>
        <a:p>
          <a:r>
            <a:rPr lang="en-US" sz="2000" baseline="0"/>
            <a:t>This instructions page will help you navagate through the Spreadsheet like a champ!</a:t>
          </a:r>
        </a:p>
        <a:p>
          <a:endParaRPr lang="en-US" sz="2000" baseline="0"/>
        </a:p>
        <a:p>
          <a:r>
            <a:rPr lang="en-US" sz="2000" baseline="0"/>
            <a:t>Home Page:</a:t>
          </a:r>
        </a:p>
        <a:p>
          <a:endParaRPr lang="en-US" sz="2000" baseline="0"/>
        </a:p>
        <a:p>
          <a:r>
            <a:rPr lang="en-US" sz="2000" baseline="0"/>
            <a:t>- The Home page is essentially the overview page for the most important tasks, it shows you everything you need to see without going into too much detail</a:t>
          </a:r>
        </a:p>
        <a:p>
          <a:r>
            <a:rPr lang="en-US" sz="2000" baseline="0"/>
            <a:t>- The Home page is linked to sections on the other pages, so if any new important information arises you can see it on the home page at a glance</a:t>
          </a:r>
        </a:p>
        <a:p>
          <a:r>
            <a:rPr lang="en-US" sz="2000" baseline="0"/>
            <a:t>- The To-Do button has been added on the home page for convenience purposes, although the button on the Scheduling page does the same thing</a:t>
          </a:r>
        </a:p>
        <a:p>
          <a:endParaRPr lang="en-US" sz="2000" baseline="0"/>
        </a:p>
        <a:p>
          <a:r>
            <a:rPr lang="en-US" sz="2000" baseline="0"/>
            <a:t>Scheduling:</a:t>
          </a:r>
        </a:p>
        <a:p>
          <a:r>
            <a:rPr lang="en-US" sz="2000" baseline="0"/>
            <a:t>- All things Scheduling related can be done on this page (To-Do and Tasks)</a:t>
          </a:r>
        </a:p>
        <a:p>
          <a:r>
            <a:rPr lang="en-US" sz="2000" baseline="0"/>
            <a:t>- Click on row and press button to change completion status for tasks, or delete the entry</a:t>
          </a:r>
        </a:p>
        <a:p>
          <a:endParaRPr lang="en-US" sz="2000" baseline="0"/>
        </a:p>
        <a:p>
          <a:r>
            <a:rPr lang="en-US" sz="2000" baseline="0"/>
            <a:t>Grades:</a:t>
          </a:r>
        </a:p>
        <a:p>
          <a:r>
            <a:rPr lang="en-US" sz="2000" baseline="0"/>
            <a:t>- All things Grades related can be done on this page</a:t>
          </a:r>
        </a:p>
        <a:p>
          <a:r>
            <a:rPr lang="en-US" sz="2000" baseline="0"/>
            <a:t>- Click on row and press delete button to delete entry</a:t>
          </a:r>
        </a:p>
        <a:p>
          <a:endParaRPr lang="en-US" sz="2000" baseline="0"/>
        </a:p>
        <a:p>
          <a:r>
            <a:rPr lang="en-US" sz="2000" b="1" baseline="0"/>
            <a:t>REMEMBER: For the convience of the client we have added a Nav Bar on the bottom and Top of the file for easy navigation no matter if you are on a smaller screen size or large one.</a:t>
          </a:r>
        </a:p>
        <a:p>
          <a:r>
            <a:rPr lang="en-US" sz="2000" b="1" baseline="0"/>
            <a:t>- Please Zoom out on all the sheets to fit your screen size as I cannot determine how large your screen is, Thank you and Enjoy!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61B7-02B1-4FBB-880E-8E82763046DB}">
  <sheetPr codeName="Sheet1"/>
  <dimension ref="A1:Z85"/>
  <sheetViews>
    <sheetView zoomScale="39" zoomScaleNormal="39" workbookViewId="0">
      <selection activeCell="L8" sqref="L8"/>
    </sheetView>
  </sheetViews>
  <sheetFormatPr defaultRowHeight="14.5" x14ac:dyDescent="0.35"/>
  <cols>
    <col min="6" max="6" width="47.6328125" customWidth="1"/>
    <col min="7" max="7" width="42.1796875" customWidth="1"/>
    <col min="8" max="8" width="38.54296875" customWidth="1"/>
    <col min="9" max="9" width="11" customWidth="1"/>
    <col min="10" max="10" width="43.7265625" customWidth="1"/>
    <col min="11" max="11" width="31.54296875" customWidth="1"/>
    <col min="12" max="12" width="37.36328125" customWidth="1"/>
    <col min="13" max="13" width="11" customWidth="1"/>
  </cols>
  <sheetData>
    <row r="1" spans="1:13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35">
      <c r="A2" s="2"/>
      <c r="B2" s="2"/>
      <c r="C2" s="2"/>
      <c r="D2" s="2"/>
      <c r="E2" s="2"/>
      <c r="F2" s="2"/>
      <c r="G2" s="2">
        <v>1</v>
      </c>
      <c r="H2" s="2">
        <v>1</v>
      </c>
      <c r="I2" s="2"/>
      <c r="J2" s="2"/>
      <c r="K2" s="2"/>
      <c r="L2" s="2"/>
      <c r="M2" s="2"/>
    </row>
    <row r="3" spans="1:13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s="2"/>
      <c r="B5" s="2"/>
      <c r="C5" s="2"/>
      <c r="D5" s="2"/>
      <c r="E5" s="2"/>
      <c r="F5" s="2"/>
      <c r="G5" s="2"/>
      <c r="H5" s="2"/>
      <c r="I5" s="48"/>
      <c r="J5" s="48"/>
      <c r="K5" s="48"/>
      <c r="L5" s="48"/>
      <c r="M5" s="48"/>
    </row>
    <row r="6" spans="1:13" x14ac:dyDescent="0.35">
      <c r="A6" s="2"/>
      <c r="B6" s="2"/>
      <c r="C6" s="2"/>
      <c r="D6" s="2"/>
      <c r="E6" s="2"/>
      <c r="F6" s="2"/>
      <c r="G6" s="2"/>
      <c r="H6" s="2"/>
      <c r="I6" s="48"/>
      <c r="J6" s="48"/>
      <c r="K6" s="48"/>
      <c r="L6" s="48"/>
      <c r="M6" s="48"/>
    </row>
    <row r="7" spans="1:13" ht="28.5" x14ac:dyDescent="0.35">
      <c r="A7" s="15"/>
      <c r="B7" s="15"/>
      <c r="C7" s="15"/>
      <c r="D7" s="15"/>
      <c r="E7" s="15"/>
      <c r="F7" s="15"/>
      <c r="G7" s="15"/>
      <c r="H7" s="15"/>
      <c r="I7" s="16"/>
      <c r="J7" s="16"/>
      <c r="K7" s="17"/>
      <c r="L7" s="16"/>
      <c r="M7" s="16"/>
    </row>
    <row r="8" spans="1:13" ht="26" x14ac:dyDescent="0.6">
      <c r="A8" s="1"/>
      <c r="B8" s="1"/>
      <c r="C8" s="1"/>
      <c r="D8" s="1"/>
      <c r="E8" s="1"/>
      <c r="F8" s="23" t="s">
        <v>0</v>
      </c>
      <c r="G8" s="25" t="s">
        <v>1</v>
      </c>
      <c r="H8" s="7"/>
      <c r="I8" s="5"/>
      <c r="J8" s="4"/>
      <c r="K8" s="24" t="s">
        <v>2</v>
      </c>
      <c r="L8" s="25" t="s">
        <v>3</v>
      </c>
      <c r="M8" s="5"/>
    </row>
    <row r="9" spans="1:13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13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13" ht="20" customHeight="1" x14ac:dyDescent="0.45">
      <c r="A12" s="2"/>
      <c r="B12" s="2"/>
      <c r="C12" s="2"/>
      <c r="D12" s="2"/>
      <c r="E12" s="8"/>
      <c r="F12" s="39" t="s">
        <v>4</v>
      </c>
      <c r="G12" s="39" t="s">
        <v>5</v>
      </c>
      <c r="H12" s="39" t="s">
        <v>6</v>
      </c>
      <c r="I12" s="8"/>
      <c r="J12" s="39" t="s">
        <v>4</v>
      </c>
      <c r="K12" s="39" t="s">
        <v>33</v>
      </c>
      <c r="L12" s="39" t="s">
        <v>16</v>
      </c>
      <c r="M12" s="9"/>
    </row>
    <row r="13" spans="1:13" ht="20" customHeight="1" x14ac:dyDescent="0.35">
      <c r="A13" s="18"/>
      <c r="B13" s="18"/>
      <c r="C13" s="18"/>
      <c r="D13" s="18"/>
      <c r="E13" s="8"/>
      <c r="F13" s="27" t="str">
        <f>Scheduling!F13</f>
        <v>Crowdmark Assignment 9</v>
      </c>
      <c r="G13" s="27" t="str">
        <f>Scheduling!G13</f>
        <v>Math 116</v>
      </c>
      <c r="H13" s="28">
        <f>Scheduling!H13</f>
        <v>44138</v>
      </c>
      <c r="I13" s="8"/>
      <c r="J13" s="27" t="str">
        <f>Scheduling!F34</f>
        <v>Clean Up Room</v>
      </c>
      <c r="K13" s="27" t="str">
        <f>Scheduling!G34</f>
        <v>Personal</v>
      </c>
      <c r="L13" s="27" t="str">
        <f>Scheduling!H34</f>
        <v>Incomplete</v>
      </c>
      <c r="M13" s="8"/>
    </row>
    <row r="14" spans="1:13" ht="20" customHeight="1" x14ac:dyDescent="0.35">
      <c r="A14" s="18"/>
      <c r="B14" s="18"/>
      <c r="C14" s="18"/>
      <c r="D14" s="18"/>
      <c r="E14" s="8"/>
      <c r="F14" s="27" t="str">
        <f>Scheduling!F14</f>
        <v xml:space="preserve">Mobius Assignment </v>
      </c>
      <c r="G14" s="27" t="str">
        <f>Scheduling!G14</f>
        <v>Phys 115</v>
      </c>
      <c r="H14" s="28">
        <f>Scheduling!H14</f>
        <v>44143</v>
      </c>
      <c r="I14" s="8"/>
      <c r="J14" s="27" t="str">
        <f>Scheduling!F35</f>
        <v>30 Reps on the Bench Press</v>
      </c>
      <c r="K14" s="27" t="str">
        <f>Scheduling!G35</f>
        <v>Fitness</v>
      </c>
      <c r="L14" s="27" t="str">
        <f>Scheduling!H35</f>
        <v>Incomplete</v>
      </c>
      <c r="M14" s="8"/>
    </row>
    <row r="15" spans="1:13" ht="20" customHeight="1" x14ac:dyDescent="0.35">
      <c r="A15" s="18"/>
      <c r="B15" s="18"/>
      <c r="C15" s="18"/>
      <c r="D15" s="18"/>
      <c r="E15" s="8"/>
      <c r="F15" s="27" t="str">
        <f>Scheduling!F15</f>
        <v>Statics Quiz</v>
      </c>
      <c r="G15" s="27" t="str">
        <f>Scheduling!G15</f>
        <v>Phys 115</v>
      </c>
      <c r="H15" s="28">
        <f>Scheduling!H15</f>
        <v>44147</v>
      </c>
      <c r="I15" s="8"/>
      <c r="J15" s="27" t="str">
        <f>Scheduling!F36</f>
        <v>Buy Milk</v>
      </c>
      <c r="K15" s="27" t="str">
        <f>Scheduling!G36</f>
        <v>Shopping</v>
      </c>
      <c r="L15" s="27" t="str">
        <f>Scheduling!H36</f>
        <v>Complete</v>
      </c>
      <c r="M15" s="8"/>
    </row>
    <row r="16" spans="1:13" ht="20" customHeight="1" x14ac:dyDescent="0.35">
      <c r="A16" s="18"/>
      <c r="B16" s="18"/>
      <c r="C16" s="18"/>
      <c r="D16" s="18"/>
      <c r="E16" s="8"/>
      <c r="F16" s="27" t="str">
        <f>Scheduling!F16</f>
        <v>Equilibrium Assignment</v>
      </c>
      <c r="G16" s="27" t="str">
        <f>Scheduling!G16</f>
        <v>Chem 102</v>
      </c>
      <c r="H16" s="28">
        <f>Scheduling!H16</f>
        <v>44154</v>
      </c>
      <c r="I16" s="8"/>
      <c r="J16" s="27" t="str">
        <f>Scheduling!F37</f>
        <v>Buy Orange Juice</v>
      </c>
      <c r="K16" s="27" t="str">
        <f>Scheduling!G37</f>
        <v>Shopping</v>
      </c>
      <c r="L16" s="27" t="str">
        <f>Scheduling!H37</f>
        <v>Incomplete</v>
      </c>
      <c r="M16" s="8"/>
    </row>
    <row r="17" spans="1:13" ht="20" customHeight="1" x14ac:dyDescent="0.45">
      <c r="A17" s="18"/>
      <c r="B17" s="18"/>
      <c r="C17" s="19"/>
      <c r="D17" s="19"/>
      <c r="E17" s="10"/>
      <c r="F17" s="27" t="str">
        <f>Scheduling!F17</f>
        <v>Weekly Reflection</v>
      </c>
      <c r="G17" s="27" t="str">
        <f>Scheduling!G17</f>
        <v>Msci 100</v>
      </c>
      <c r="H17" s="28">
        <f>Scheduling!H17</f>
        <v>44199</v>
      </c>
      <c r="I17" s="9"/>
      <c r="J17" s="27" t="str">
        <f>Scheduling!F38</f>
        <v>Get Cake</v>
      </c>
      <c r="K17" s="27" t="str">
        <f>Scheduling!G38</f>
        <v>Jake's Birthday</v>
      </c>
      <c r="L17" s="27" t="str">
        <f>Scheduling!H38</f>
        <v>Incomplete</v>
      </c>
      <c r="M17" s="22"/>
    </row>
    <row r="18" spans="1:13" ht="20" customHeight="1" x14ac:dyDescent="0.35">
      <c r="A18" s="18"/>
      <c r="B18" s="18"/>
      <c r="C18" s="18"/>
      <c r="D18" s="18"/>
      <c r="E18" s="8"/>
      <c r="F18" s="8"/>
      <c r="G18" s="8"/>
      <c r="H18" s="8"/>
      <c r="I18" s="8"/>
      <c r="J18" s="8"/>
      <c r="K18" s="8" t="s">
        <v>66</v>
      </c>
      <c r="L18" s="8">
        <f>Scheduling!H49</f>
        <v>4</v>
      </c>
      <c r="M18" s="8"/>
    </row>
    <row r="19" spans="1:13" ht="20" customHeight="1" x14ac:dyDescent="0.35">
      <c r="A19" s="18"/>
      <c r="B19" s="18"/>
      <c r="C19" s="18"/>
      <c r="D19" s="18"/>
      <c r="E19" s="8"/>
      <c r="F19" s="8"/>
      <c r="G19" s="8"/>
      <c r="H19" s="8"/>
      <c r="I19" s="8"/>
      <c r="J19" s="8"/>
      <c r="K19" s="8"/>
      <c r="L19" s="8"/>
      <c r="M19" s="8"/>
    </row>
    <row r="20" spans="1:13" ht="20" customHeight="1" x14ac:dyDescent="0.35">
      <c r="A20" s="18"/>
      <c r="B20" s="18"/>
      <c r="C20" s="18"/>
      <c r="D20" s="18"/>
      <c r="E20" s="8"/>
      <c r="F20" s="39" t="s">
        <v>57</v>
      </c>
      <c r="G20" s="39" t="s">
        <v>56</v>
      </c>
      <c r="H20" s="8"/>
      <c r="I20" s="8"/>
      <c r="J20" s="39" t="s">
        <v>60</v>
      </c>
      <c r="K20" s="39" t="s">
        <v>61</v>
      </c>
      <c r="L20" s="39" t="s">
        <v>62</v>
      </c>
      <c r="M20" s="8"/>
    </row>
    <row r="21" spans="1:13" ht="20" customHeight="1" x14ac:dyDescent="0.35">
      <c r="A21" s="18"/>
      <c r="B21" s="18"/>
      <c r="C21" s="18"/>
      <c r="D21" s="18"/>
      <c r="E21" s="8"/>
      <c r="F21" s="27">
        <f>Grades!C38</f>
        <v>49</v>
      </c>
      <c r="G21" s="27" t="str">
        <f>Grades!Z39</f>
        <v>-0.09375</v>
      </c>
      <c r="H21" s="8"/>
      <c r="I21" s="8"/>
      <c r="J21" s="27">
        <f>Scheduling!H30</f>
        <v>8</v>
      </c>
      <c r="K21" s="27">
        <f>Grades!C39</f>
        <v>5</v>
      </c>
      <c r="L21" s="27">
        <f>SUM(J21,K21)</f>
        <v>13</v>
      </c>
      <c r="M21" s="8"/>
    </row>
    <row r="22" spans="1:13" ht="20" customHeight="1" x14ac:dyDescent="0.35">
      <c r="A22" s="18"/>
      <c r="B22" s="18"/>
      <c r="C22" s="18"/>
      <c r="D22" s="18"/>
      <c r="E22" s="8"/>
      <c r="F22" s="8"/>
      <c r="G22" s="8"/>
      <c r="H22" s="8"/>
      <c r="I22" s="8"/>
      <c r="J22" s="8"/>
      <c r="K22" s="8"/>
      <c r="L22" s="8"/>
      <c r="M22" s="8"/>
    </row>
    <row r="23" spans="1:13" ht="20" customHeight="1" x14ac:dyDescent="0.35">
      <c r="A23" s="18"/>
      <c r="B23" s="18"/>
      <c r="C23" s="18"/>
      <c r="D23" s="18"/>
      <c r="E23" s="8"/>
      <c r="F23" s="8"/>
      <c r="G23" s="8"/>
      <c r="H23" s="8"/>
      <c r="I23" s="8"/>
      <c r="J23" s="8"/>
      <c r="K23" s="8"/>
      <c r="L23" s="8"/>
      <c r="M23" s="8"/>
    </row>
    <row r="24" spans="1:13" ht="20" customHeight="1" x14ac:dyDescent="0.35">
      <c r="A24" s="18"/>
      <c r="B24" s="18"/>
      <c r="C24" s="18"/>
      <c r="D24" s="18"/>
      <c r="E24" s="8"/>
      <c r="F24" s="8"/>
      <c r="G24" s="8"/>
      <c r="H24" s="8"/>
      <c r="I24" s="8"/>
      <c r="J24" s="8"/>
      <c r="K24" s="8"/>
      <c r="L24" s="8"/>
      <c r="M24" s="8"/>
    </row>
    <row r="25" spans="1:13" ht="20" customHeight="1" x14ac:dyDescent="0.35">
      <c r="A25" s="18"/>
      <c r="B25" s="18"/>
      <c r="C25" s="18"/>
      <c r="D25" s="18"/>
      <c r="E25" s="8"/>
      <c r="F25" s="8"/>
      <c r="G25" s="8"/>
      <c r="H25" s="8"/>
      <c r="I25" s="8"/>
      <c r="J25" s="8"/>
      <c r="K25" s="8"/>
      <c r="L25" s="8"/>
      <c r="M25" s="8"/>
    </row>
    <row r="26" spans="1:13" ht="20" customHeight="1" x14ac:dyDescent="0.35">
      <c r="A26" s="18"/>
      <c r="B26" s="18"/>
      <c r="C26" s="18"/>
      <c r="D26" s="18"/>
      <c r="E26" s="8"/>
      <c r="F26" s="8"/>
      <c r="G26" s="8"/>
      <c r="H26" s="8"/>
      <c r="I26" s="8"/>
      <c r="J26" s="8"/>
      <c r="K26" s="8"/>
      <c r="L26" s="8"/>
      <c r="M26" s="8"/>
    </row>
    <row r="27" spans="1:13" ht="20" customHeight="1" x14ac:dyDescent="0.35">
      <c r="A27" s="18"/>
      <c r="B27" s="18"/>
      <c r="C27" s="18"/>
      <c r="D27" s="18"/>
      <c r="E27" s="8"/>
      <c r="F27" s="8"/>
      <c r="G27" s="8"/>
      <c r="H27" s="8"/>
      <c r="I27" s="8"/>
      <c r="J27" s="8"/>
      <c r="K27" s="8"/>
      <c r="L27" s="8"/>
      <c r="M27" s="8"/>
    </row>
    <row r="28" spans="1:13" ht="20" customHeight="1" x14ac:dyDescent="0.35">
      <c r="A28" s="18"/>
      <c r="B28" s="18"/>
      <c r="C28" s="18"/>
      <c r="D28" s="18"/>
      <c r="E28" s="8"/>
      <c r="F28" s="8"/>
      <c r="G28" s="8"/>
      <c r="H28" s="8"/>
      <c r="I28" s="8"/>
      <c r="J28" s="8"/>
      <c r="K28" s="8"/>
      <c r="L28" s="8"/>
      <c r="M28" s="8"/>
    </row>
    <row r="29" spans="1:13" ht="20" customHeight="1" x14ac:dyDescent="0.35">
      <c r="A29" s="18"/>
      <c r="B29" s="18"/>
      <c r="C29" s="18"/>
      <c r="D29" s="18"/>
      <c r="E29" s="8"/>
      <c r="F29" s="8"/>
      <c r="G29" s="8"/>
      <c r="H29" s="8"/>
      <c r="I29" s="8"/>
      <c r="J29" s="8"/>
      <c r="K29" s="8"/>
      <c r="L29" s="8"/>
      <c r="M29" s="8"/>
    </row>
    <row r="30" spans="1:13" ht="20" customHeight="1" x14ac:dyDescent="0.45">
      <c r="A30" s="2"/>
      <c r="B30" s="2"/>
      <c r="C30" s="2"/>
      <c r="D30" s="2"/>
      <c r="E30" s="2"/>
      <c r="F30" s="2"/>
      <c r="G30" s="2"/>
      <c r="H30" s="47" t="s">
        <v>63</v>
      </c>
      <c r="I30" s="2"/>
      <c r="J30" s="2"/>
      <c r="K30" s="2"/>
      <c r="L30" s="2"/>
      <c r="M30" s="2"/>
    </row>
    <row r="31" spans="1:13" ht="20" customHeight="1" x14ac:dyDescent="0.45">
      <c r="A31" s="2"/>
      <c r="B31" s="2"/>
      <c r="C31" s="2"/>
      <c r="D31" s="2"/>
      <c r="E31" s="2"/>
      <c r="F31" s="2"/>
      <c r="G31" s="2"/>
      <c r="H31" s="47" t="s">
        <v>64</v>
      </c>
      <c r="I31" s="2"/>
      <c r="J31" s="2"/>
      <c r="K31" s="2"/>
      <c r="L31" s="2"/>
      <c r="M31" s="2"/>
    </row>
    <row r="32" spans="1:13" ht="20" customHeight="1" x14ac:dyDescent="0.35"/>
    <row r="33" ht="20" customHeight="1" x14ac:dyDescent="0.35"/>
    <row r="34" ht="20" customHeight="1" x14ac:dyDescent="0.35"/>
    <row r="35" ht="20" customHeight="1" x14ac:dyDescent="0.35"/>
    <row r="36" ht="20" customHeight="1" x14ac:dyDescent="0.35"/>
    <row r="37" ht="20" customHeight="1" x14ac:dyDescent="0.35"/>
    <row r="38" ht="20" customHeight="1" x14ac:dyDescent="0.35"/>
    <row r="39" ht="20" customHeight="1" x14ac:dyDescent="0.35"/>
    <row r="40" ht="20" customHeight="1" x14ac:dyDescent="0.35"/>
    <row r="41" ht="20" customHeight="1" x14ac:dyDescent="0.35"/>
    <row r="42" ht="20" customHeight="1" x14ac:dyDescent="0.35"/>
    <row r="43" ht="20" customHeight="1" x14ac:dyDescent="0.35"/>
    <row r="44" ht="20" customHeight="1" x14ac:dyDescent="0.35"/>
    <row r="45" ht="20" customHeight="1" x14ac:dyDescent="0.35"/>
    <row r="46" ht="20" customHeight="1" x14ac:dyDescent="0.35"/>
    <row r="47" ht="20" customHeight="1" x14ac:dyDescent="0.35"/>
    <row r="48" ht="20" customHeight="1" x14ac:dyDescent="0.35"/>
    <row r="49" spans="1:26" ht="18.5" x14ac:dyDescent="0.45">
      <c r="A49" s="1"/>
      <c r="B49" s="1"/>
      <c r="C49" s="1"/>
      <c r="D49" s="1"/>
      <c r="E49" s="1"/>
      <c r="F49" s="1"/>
      <c r="G49" s="1"/>
      <c r="H49" s="49" t="s">
        <v>0</v>
      </c>
      <c r="I49" s="49"/>
      <c r="J49" s="49"/>
      <c r="K49" s="50" t="s">
        <v>1</v>
      </c>
      <c r="L49" s="51"/>
      <c r="M49" s="51"/>
      <c r="N49" s="49" t="s">
        <v>2</v>
      </c>
      <c r="O49" s="53"/>
      <c r="P49" s="53"/>
      <c r="Q49" s="52" t="s">
        <v>3</v>
      </c>
      <c r="R49" s="52"/>
      <c r="S49" s="52"/>
      <c r="T49" s="1"/>
      <c r="U49" s="1"/>
      <c r="V49" s="1"/>
      <c r="W49" s="1"/>
      <c r="X49" s="1"/>
      <c r="Y49" s="1"/>
      <c r="Z49" s="1"/>
    </row>
    <row r="50" spans="1:26" ht="20" customHeight="1" x14ac:dyDescent="0.35"/>
    <row r="51" spans="1:26" ht="20" customHeight="1" x14ac:dyDescent="0.35"/>
    <row r="52" spans="1:26" ht="20" customHeight="1" x14ac:dyDescent="0.35"/>
    <row r="53" spans="1:26" ht="20" customHeight="1" x14ac:dyDescent="0.35"/>
    <row r="54" spans="1:26" ht="20" customHeight="1" x14ac:dyDescent="0.35"/>
    <row r="56" spans="1:26" x14ac:dyDescent="0.35">
      <c r="G56" s="21"/>
      <c r="H56" s="21"/>
    </row>
    <row r="57" spans="1:26" x14ac:dyDescent="0.35">
      <c r="F57" s="21"/>
      <c r="G57" s="21"/>
      <c r="H57" s="21"/>
    </row>
    <row r="58" spans="1:26" x14ac:dyDescent="0.35">
      <c r="F58" s="21"/>
      <c r="G58" s="21"/>
      <c r="H58" s="21"/>
    </row>
    <row r="59" spans="1:26" x14ac:dyDescent="0.35">
      <c r="F59" s="21"/>
      <c r="G59" s="21"/>
      <c r="H59" s="21"/>
    </row>
    <row r="60" spans="1:26" x14ac:dyDescent="0.35">
      <c r="F60" s="21"/>
      <c r="G60" s="21"/>
      <c r="H60" s="21"/>
    </row>
    <row r="61" spans="1:26" x14ac:dyDescent="0.35">
      <c r="F61" s="21"/>
      <c r="G61" s="21"/>
      <c r="H61" s="21"/>
    </row>
    <row r="62" spans="1:26" x14ac:dyDescent="0.35">
      <c r="F62" s="21"/>
      <c r="G62" s="21"/>
      <c r="H62" s="21"/>
    </row>
    <row r="63" spans="1:26" x14ac:dyDescent="0.35">
      <c r="F63" s="21"/>
      <c r="G63" s="21"/>
      <c r="H63" s="21"/>
    </row>
    <row r="64" spans="1:26" x14ac:dyDescent="0.35">
      <c r="F64" s="21"/>
      <c r="G64" s="21"/>
      <c r="H64" s="21"/>
    </row>
    <row r="65" spans="6:8" x14ac:dyDescent="0.35">
      <c r="F65" s="21"/>
      <c r="G65" s="21"/>
      <c r="H65" s="21"/>
    </row>
    <row r="66" spans="6:8" x14ac:dyDescent="0.35">
      <c r="F66" s="21"/>
      <c r="G66" s="21"/>
      <c r="H66" s="21"/>
    </row>
    <row r="67" spans="6:8" x14ac:dyDescent="0.35">
      <c r="F67" s="21"/>
      <c r="G67" s="21"/>
      <c r="H67" s="21"/>
    </row>
    <row r="68" spans="6:8" x14ac:dyDescent="0.35">
      <c r="F68" s="21"/>
      <c r="G68" s="21"/>
      <c r="H68" s="21"/>
    </row>
    <row r="69" spans="6:8" x14ac:dyDescent="0.35">
      <c r="F69" s="21"/>
      <c r="G69" s="21"/>
      <c r="H69" s="21"/>
    </row>
    <row r="70" spans="6:8" x14ac:dyDescent="0.35">
      <c r="F70" s="21"/>
      <c r="G70" s="21"/>
      <c r="H70" s="21"/>
    </row>
    <row r="71" spans="6:8" x14ac:dyDescent="0.35">
      <c r="F71" s="21"/>
      <c r="G71" s="21"/>
      <c r="H71" s="21"/>
    </row>
    <row r="72" spans="6:8" x14ac:dyDescent="0.35">
      <c r="F72" s="21"/>
      <c r="G72" s="21"/>
      <c r="H72" s="21"/>
    </row>
    <row r="73" spans="6:8" x14ac:dyDescent="0.35">
      <c r="F73" s="20"/>
      <c r="G73" s="20"/>
      <c r="H73" s="20"/>
    </row>
    <row r="74" spans="6:8" x14ac:dyDescent="0.35">
      <c r="F74" s="20"/>
      <c r="G74" s="20"/>
      <c r="H74" s="20"/>
    </row>
    <row r="75" spans="6:8" x14ac:dyDescent="0.35">
      <c r="F75" s="20"/>
      <c r="G75" s="20"/>
      <c r="H75" s="20"/>
    </row>
    <row r="76" spans="6:8" x14ac:dyDescent="0.35">
      <c r="F76" s="20"/>
      <c r="G76" s="20"/>
      <c r="H76" s="20"/>
    </row>
    <row r="77" spans="6:8" x14ac:dyDescent="0.35">
      <c r="F77" s="20"/>
      <c r="G77" s="20"/>
      <c r="H77" s="20"/>
    </row>
    <row r="78" spans="6:8" x14ac:dyDescent="0.35">
      <c r="F78" s="20"/>
      <c r="G78" s="20"/>
      <c r="H78" s="20"/>
    </row>
    <row r="79" spans="6:8" x14ac:dyDescent="0.35">
      <c r="F79" s="20"/>
      <c r="G79" s="20"/>
      <c r="H79" s="20"/>
    </row>
    <row r="80" spans="6:8" x14ac:dyDescent="0.35">
      <c r="F80" s="20"/>
      <c r="G80" s="20"/>
      <c r="H80" s="20"/>
    </row>
    <row r="81" spans="6:8" x14ac:dyDescent="0.35">
      <c r="F81" s="20"/>
      <c r="G81" s="20"/>
      <c r="H81" s="20"/>
    </row>
    <row r="82" spans="6:8" x14ac:dyDescent="0.35">
      <c r="F82" s="20"/>
      <c r="G82" s="20"/>
      <c r="H82" s="20"/>
    </row>
    <row r="83" spans="6:8" x14ac:dyDescent="0.35">
      <c r="F83" s="20"/>
      <c r="G83" s="20"/>
      <c r="H83" s="20"/>
    </row>
    <row r="84" spans="6:8" x14ac:dyDescent="0.35">
      <c r="F84" s="20"/>
      <c r="G84" s="20"/>
      <c r="H84" s="20"/>
    </row>
    <row r="85" spans="6:8" x14ac:dyDescent="0.35">
      <c r="F85" s="20"/>
      <c r="G85" s="20"/>
      <c r="H85" s="20"/>
    </row>
  </sheetData>
  <sortState xmlns:xlrd2="http://schemas.microsoft.com/office/spreadsheetml/2017/richdata2" ref="M18:M48">
    <sortCondition sortBy="cellColor" ref="M18:M48" dxfId="213"/>
    <sortCondition ref="M18:M48"/>
  </sortState>
  <mergeCells count="5">
    <mergeCell ref="I5:M6"/>
    <mergeCell ref="H49:J49"/>
    <mergeCell ref="K49:M49"/>
    <mergeCell ref="N49:P49"/>
    <mergeCell ref="Q49:S49"/>
  </mergeCells>
  <conditionalFormatting sqref="L13:L17">
    <cfRule type="cellIs" dxfId="91" priority="8" operator="equal">
      <formula>"Complete"</formula>
    </cfRule>
    <cfRule type="cellIs" dxfId="90" priority="9" operator="equal">
      <formula>"Incomplete"</formula>
    </cfRule>
  </conditionalFormatting>
  <conditionalFormatting sqref="H13:H17">
    <cfRule type="timePeriod" dxfId="75" priority="6" timePeriod="today">
      <formula>FLOOR(H13,1)=TODAY()</formula>
    </cfRule>
    <cfRule type="timePeriod" dxfId="76" priority="7" timePeriod="lastMonth">
      <formula>AND(MONTH(H13)=MONTH(EDATE(TODAY(),0-1)),YEAR(H13)=YEAR(EDATE(TODAY(),0-1)))</formula>
    </cfRule>
    <cfRule type="timePeriod" dxfId="77" priority="5" timePeriod="today">
      <formula>FLOOR(H13,1)=TODAY()</formula>
    </cfRule>
    <cfRule type="timePeriod" dxfId="78" priority="4" timePeriod="yesterday">
      <formula>FLOOR(H13,1)=TODAY()-1</formula>
    </cfRule>
    <cfRule type="timePeriod" dxfId="79" priority="3" timePeriod="thisMonth">
      <formula>AND(MONTH(H13)=MONTH(TODAY()),YEAR(H13)=YEAR(TODAY()))</formula>
    </cfRule>
    <cfRule type="timePeriod" dxfId="80" priority="2" timePeriod="nextMonth">
      <formula>AND(MONTH(H13)=MONTH(EDATE(TODAY(),0+1)),YEAR(H13)=YEAR(EDATE(TODAY(),0+1)))</formula>
    </cfRule>
    <cfRule type="timePeriod" dxfId="81" priority="1" timePeriod="today">
      <formula>FLOOR(H13,1)=TODAY()</formula>
    </cfRule>
  </conditionalFormatting>
  <hyperlinks>
    <hyperlink ref="L55:M55" location="Grades!A1" display="Grades" xr:uid="{100FE9DA-CC0B-420F-A15A-7BF9EA79B3C7}"/>
    <hyperlink ref="F8" location="Home!A1" display="Home" xr:uid="{87B5911D-0913-472F-8F68-0C5CFE68A0CB}"/>
    <hyperlink ref="G8" location="Scheduling!A1" display="Scheduling" xr:uid="{F4D7EE68-7222-45E8-B931-063A59BF1430}"/>
    <hyperlink ref="K8" location="Grades!A1" display="Grades" xr:uid="{74A1D457-161A-45C9-B904-03019B28D41C}"/>
    <hyperlink ref="L8:M8" location="'Data Center'!A1" display="Data Center" xr:uid="{09CCF279-E41A-4EAB-B232-6012DC9242F1}"/>
    <hyperlink ref="Q49:S49" location="'Data Center'!A1" display="Data Center" xr:uid="{6E568006-120D-40EC-834E-793043D86967}"/>
    <hyperlink ref="H49:J49" location="Home!A1" display="Home" xr:uid="{D5C9E9D7-73C2-4C58-8C59-E054E2CE1E95}"/>
    <hyperlink ref="K49:M49" location="Scheduling!A1" display="Scheduling" xr:uid="{73399175-12F1-4E6B-90EF-5B66AEC6B10B}"/>
    <hyperlink ref="N49:P49" location="Grades!A1" display="Grades" xr:uid="{3176E408-2974-4982-B0A8-080F4DE45945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openAddToDo">
                <anchor moveWithCells="1" sizeWithCells="1">
                  <from>
                    <xdr:col>0</xdr:col>
                    <xdr:colOff>76200</xdr:colOff>
                    <xdr:row>13</xdr:row>
                    <xdr:rowOff>57150</xdr:rowOff>
                  </from>
                  <to>
                    <xdr:col>3</xdr:col>
                    <xdr:colOff>495300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053B-4F89-4D6C-BED2-F0FEDC287B38}">
  <sheetPr codeName="Sheet2">
    <pageSetUpPr autoPageBreaks="0"/>
  </sheetPr>
  <dimension ref="A1:Z50"/>
  <sheetViews>
    <sheetView tabSelected="1" topLeftCell="A18" zoomScale="50" zoomScaleNormal="50" workbookViewId="0">
      <selection activeCell="F53" sqref="F53"/>
    </sheetView>
  </sheetViews>
  <sheetFormatPr defaultRowHeight="14.5" x14ac:dyDescent="0.35"/>
  <cols>
    <col min="6" max="6" width="50.81640625" customWidth="1"/>
    <col min="7" max="7" width="34.54296875" customWidth="1"/>
    <col min="8" max="8" width="41.26953125" customWidth="1"/>
    <col min="10" max="10" width="32.1796875" customWidth="1"/>
    <col min="11" max="11" width="46.26953125" customWidth="1"/>
    <col min="12" max="12" width="27.453125" customWidth="1"/>
    <col min="14" max="14" width="8.7265625" style="30"/>
    <col min="15" max="15" width="9.1796875" style="30" bestFit="1" customWidth="1"/>
    <col min="16" max="26" width="8.7265625" style="30"/>
  </cols>
  <sheetData>
    <row r="1" spans="1:24" ht="11.5" customHeigh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9"/>
      <c r="O1" s="29"/>
      <c r="P1" s="29"/>
    </row>
    <row r="2" spans="1:24" ht="13.5" customHeight="1" x14ac:dyDescent="0.35">
      <c r="A2" s="2"/>
      <c r="B2" s="2"/>
      <c r="C2" s="2"/>
      <c r="D2" s="2"/>
      <c r="E2" s="2"/>
      <c r="F2" s="2"/>
      <c r="G2" s="2"/>
      <c r="H2" s="2" t="s">
        <v>18</v>
      </c>
      <c r="I2" s="2"/>
      <c r="J2" s="2"/>
      <c r="K2" s="2"/>
      <c r="L2" s="2"/>
      <c r="M2" s="2"/>
      <c r="N2" s="29"/>
      <c r="O2" s="29"/>
      <c r="P2" s="29"/>
    </row>
    <row r="3" spans="1:24" ht="17.5" customHeight="1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1"/>
      <c r="O3" s="31"/>
      <c r="P3" s="31"/>
      <c r="Q3" s="32"/>
      <c r="R3" s="32"/>
      <c r="S3" s="32"/>
    </row>
    <row r="4" spans="1:24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24" x14ac:dyDescent="0.35">
      <c r="A5" s="2"/>
      <c r="B5" s="2"/>
      <c r="C5" s="2"/>
      <c r="D5" s="2"/>
      <c r="E5" s="2"/>
      <c r="F5" s="2"/>
      <c r="G5" s="2"/>
      <c r="H5" s="2"/>
      <c r="I5" s="48"/>
      <c r="J5" s="48"/>
      <c r="K5" s="48"/>
      <c r="L5" s="48"/>
      <c r="M5" s="48"/>
    </row>
    <row r="6" spans="1:24" x14ac:dyDescent="0.35">
      <c r="A6" s="2"/>
      <c r="B6" s="2"/>
      <c r="C6" s="2"/>
      <c r="D6" s="2"/>
      <c r="E6" s="2"/>
      <c r="F6" s="2"/>
      <c r="G6" s="2"/>
      <c r="H6" s="2"/>
      <c r="I6" s="48"/>
      <c r="J6" s="48"/>
      <c r="K6" s="48"/>
      <c r="L6" s="48"/>
      <c r="M6" s="48"/>
    </row>
    <row r="7" spans="1:24" ht="28.5" x14ac:dyDescent="0.35">
      <c r="A7" s="15"/>
      <c r="B7" s="15"/>
      <c r="C7" s="15"/>
      <c r="D7" s="15"/>
      <c r="E7" s="15"/>
      <c r="F7" s="15"/>
      <c r="G7" s="15"/>
      <c r="H7" s="15"/>
      <c r="I7" s="16"/>
      <c r="J7" s="16"/>
      <c r="K7" s="17"/>
      <c r="L7" s="16"/>
      <c r="M7" s="16"/>
    </row>
    <row r="8" spans="1:24" ht="26" x14ac:dyDescent="0.6">
      <c r="A8" s="1"/>
      <c r="B8" s="1"/>
      <c r="C8" s="1"/>
      <c r="D8" s="1"/>
      <c r="E8" s="1"/>
      <c r="F8" s="24" t="s">
        <v>0</v>
      </c>
      <c r="G8" s="23" t="s">
        <v>1</v>
      </c>
      <c r="H8" s="7"/>
      <c r="I8" s="5"/>
      <c r="J8" s="4"/>
      <c r="K8" s="24" t="s">
        <v>2</v>
      </c>
      <c r="L8" s="25" t="s">
        <v>3</v>
      </c>
      <c r="M8" s="5"/>
    </row>
    <row r="9" spans="1:24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24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24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24" ht="18.5" x14ac:dyDescent="0.45">
      <c r="A12" s="2"/>
      <c r="B12" s="2"/>
      <c r="C12" s="2"/>
      <c r="D12" s="2"/>
      <c r="E12" s="8"/>
      <c r="F12" s="39" t="s">
        <v>4</v>
      </c>
      <c r="G12" s="39" t="s">
        <v>5</v>
      </c>
      <c r="H12" s="39" t="s">
        <v>26</v>
      </c>
      <c r="I12" s="8"/>
      <c r="J12" s="8"/>
      <c r="K12" s="8"/>
      <c r="L12" s="8"/>
      <c r="M12" s="9"/>
      <c r="O12" s="33"/>
      <c r="S12" s="33"/>
      <c r="U12" s="33"/>
    </row>
    <row r="13" spans="1:24" ht="15.5" x14ac:dyDescent="0.35">
      <c r="A13" s="18"/>
      <c r="B13" s="18"/>
      <c r="C13" s="18"/>
      <c r="D13" s="18"/>
      <c r="E13" s="8"/>
      <c r="F13" s="27" t="s">
        <v>23</v>
      </c>
      <c r="G13" s="27" t="s">
        <v>22</v>
      </c>
      <c r="H13" s="28">
        <v>44138</v>
      </c>
      <c r="I13" s="8"/>
      <c r="J13" s="8"/>
      <c r="K13" s="8"/>
      <c r="L13" s="8"/>
      <c r="M13" s="8"/>
      <c r="N13" s="35"/>
      <c r="O13" s="40"/>
      <c r="P13" s="35"/>
      <c r="Q13" s="35"/>
      <c r="R13" s="37"/>
      <c r="S13" s="37"/>
      <c r="T13" s="37"/>
      <c r="U13" s="37"/>
      <c r="V13" s="37"/>
      <c r="W13" s="37"/>
      <c r="X13" s="37"/>
    </row>
    <row r="14" spans="1:24" ht="15.5" x14ac:dyDescent="0.35">
      <c r="A14" s="18"/>
      <c r="B14" s="18"/>
      <c r="C14" s="18"/>
      <c r="D14" s="18"/>
      <c r="E14" s="8"/>
      <c r="F14" s="26" t="s">
        <v>24</v>
      </c>
      <c r="G14" s="26" t="s">
        <v>25</v>
      </c>
      <c r="H14" s="28">
        <v>44143</v>
      </c>
      <c r="I14" s="8"/>
      <c r="J14" s="8"/>
      <c r="K14" s="8"/>
      <c r="L14" s="8"/>
      <c r="M14" s="8"/>
      <c r="N14" s="35"/>
      <c r="O14" s="40"/>
      <c r="P14" s="35"/>
      <c r="Q14" s="35"/>
      <c r="R14" s="37"/>
      <c r="S14" s="37"/>
      <c r="T14" s="37"/>
      <c r="U14" s="37"/>
      <c r="V14" s="37"/>
      <c r="W14" s="37"/>
      <c r="X14" s="37"/>
    </row>
    <row r="15" spans="1:24" ht="15.5" x14ac:dyDescent="0.35">
      <c r="A15" s="18"/>
      <c r="B15" s="18"/>
      <c r="C15" s="18"/>
      <c r="D15" s="18"/>
      <c r="E15" s="8"/>
      <c r="F15" s="26" t="s">
        <v>27</v>
      </c>
      <c r="G15" s="26" t="s">
        <v>25</v>
      </c>
      <c r="H15" s="28">
        <v>44147</v>
      </c>
      <c r="I15" s="8"/>
      <c r="J15" s="8"/>
      <c r="K15" s="8"/>
      <c r="L15" s="8"/>
      <c r="M15" s="8"/>
      <c r="N15" s="35"/>
      <c r="O15" s="40"/>
      <c r="P15" s="35"/>
      <c r="Q15" s="35"/>
      <c r="R15" s="37"/>
      <c r="S15" s="37"/>
      <c r="T15" s="37"/>
      <c r="U15" s="37"/>
      <c r="V15" s="37"/>
      <c r="W15" s="37"/>
      <c r="X15" s="37"/>
    </row>
    <row r="16" spans="1:24" ht="15.5" x14ac:dyDescent="0.35">
      <c r="A16" s="18"/>
      <c r="B16" s="18"/>
      <c r="C16" s="18"/>
      <c r="D16" s="18"/>
      <c r="E16" s="8"/>
      <c r="F16" s="26" t="s">
        <v>28</v>
      </c>
      <c r="G16" s="26" t="s">
        <v>29</v>
      </c>
      <c r="H16" s="28">
        <v>44154</v>
      </c>
      <c r="I16" s="8"/>
      <c r="J16" s="8"/>
      <c r="K16" s="8"/>
      <c r="L16" s="8"/>
      <c r="M16" s="8"/>
      <c r="N16" s="35"/>
      <c r="O16" s="40"/>
      <c r="P16" s="35"/>
      <c r="Q16" s="35"/>
      <c r="R16" s="37"/>
      <c r="S16" s="37"/>
      <c r="T16" s="37"/>
      <c r="U16" s="37"/>
      <c r="V16" s="37"/>
      <c r="W16" s="37"/>
      <c r="X16" s="37"/>
    </row>
    <row r="17" spans="1:24" ht="18.5" x14ac:dyDescent="0.45">
      <c r="A17" s="18"/>
      <c r="B17" s="18"/>
      <c r="C17" s="19"/>
      <c r="D17" s="19"/>
      <c r="E17" s="10"/>
      <c r="F17" s="26" t="s">
        <v>30</v>
      </c>
      <c r="G17" s="26" t="s">
        <v>31</v>
      </c>
      <c r="H17" s="28">
        <v>44199</v>
      </c>
      <c r="I17" s="9"/>
      <c r="J17" s="8"/>
      <c r="K17" s="8"/>
      <c r="L17" s="8"/>
      <c r="M17" s="22"/>
      <c r="N17" s="35"/>
      <c r="O17" s="40"/>
      <c r="P17" s="35"/>
      <c r="Q17" s="35"/>
      <c r="R17" s="37"/>
      <c r="S17" s="37"/>
      <c r="T17" s="37"/>
      <c r="U17" s="37"/>
      <c r="V17" s="37"/>
      <c r="W17" s="37"/>
      <c r="X17" s="37"/>
    </row>
    <row r="18" spans="1:24" ht="15.5" x14ac:dyDescent="0.35">
      <c r="A18" s="18"/>
      <c r="B18" s="18"/>
      <c r="C18" s="19"/>
      <c r="D18" s="19"/>
      <c r="E18" s="10"/>
      <c r="F18" s="26" t="s">
        <v>32</v>
      </c>
      <c r="G18" s="26" t="s">
        <v>15</v>
      </c>
      <c r="H18" s="28">
        <v>44169</v>
      </c>
      <c r="I18" s="11"/>
      <c r="J18" s="8"/>
      <c r="K18" s="8"/>
      <c r="L18" s="8"/>
      <c r="M18" s="14"/>
      <c r="N18" s="35"/>
      <c r="O18" s="40"/>
      <c r="P18" s="35"/>
      <c r="Q18" s="35"/>
      <c r="R18" s="37"/>
      <c r="S18" s="37"/>
      <c r="T18" s="37"/>
      <c r="U18" s="37"/>
      <c r="V18" s="37"/>
      <c r="W18" s="37"/>
      <c r="X18" s="37"/>
    </row>
    <row r="19" spans="1:24" ht="15.5" x14ac:dyDescent="0.35">
      <c r="A19" s="18"/>
      <c r="B19" s="18"/>
      <c r="C19" s="19"/>
      <c r="D19" s="19"/>
      <c r="E19" s="10"/>
      <c r="F19" s="26" t="s">
        <v>43</v>
      </c>
      <c r="G19" s="26" t="s">
        <v>31</v>
      </c>
      <c r="H19" s="42">
        <v>44169</v>
      </c>
      <c r="I19" s="11"/>
      <c r="J19" s="8"/>
      <c r="K19" s="8"/>
      <c r="L19" s="8"/>
      <c r="M19" s="14"/>
      <c r="N19" s="35"/>
      <c r="O19" s="40"/>
      <c r="P19" s="35"/>
      <c r="Q19" s="35"/>
      <c r="R19" s="37"/>
      <c r="S19" s="37"/>
      <c r="T19" s="37"/>
      <c r="U19" s="37"/>
      <c r="V19" s="37"/>
      <c r="W19" s="37"/>
      <c r="X19" s="37"/>
    </row>
    <row r="20" spans="1:24" ht="15.5" x14ac:dyDescent="0.35">
      <c r="A20" s="18"/>
      <c r="B20" s="18"/>
      <c r="C20" s="19"/>
      <c r="D20" s="19"/>
      <c r="E20" s="10"/>
      <c r="F20" s="26" t="s">
        <v>44</v>
      </c>
      <c r="G20" s="26" t="s">
        <v>31</v>
      </c>
      <c r="H20" s="42">
        <v>44170</v>
      </c>
      <c r="I20" s="11"/>
      <c r="J20" s="8"/>
      <c r="K20" s="8"/>
      <c r="L20" s="8"/>
      <c r="M20" s="12"/>
      <c r="N20" s="35"/>
      <c r="O20" s="40"/>
      <c r="P20" s="35"/>
      <c r="Q20" s="35"/>
      <c r="R20" s="37"/>
      <c r="S20" s="37"/>
      <c r="T20" s="37"/>
      <c r="U20" s="37"/>
      <c r="V20" s="37"/>
      <c r="W20" s="37"/>
      <c r="X20" s="37"/>
    </row>
    <row r="21" spans="1:24" ht="15.5" x14ac:dyDescent="0.35">
      <c r="A21" s="18"/>
      <c r="B21" s="18"/>
      <c r="C21" s="19"/>
      <c r="D21" s="19"/>
      <c r="E21" s="10"/>
      <c r="F21" s="26"/>
      <c r="G21" s="26"/>
      <c r="H21" s="42"/>
      <c r="I21" s="13"/>
      <c r="J21" s="8"/>
      <c r="K21" s="8"/>
      <c r="L21" s="8"/>
      <c r="M21" s="14"/>
      <c r="N21" s="35"/>
      <c r="O21" s="40"/>
      <c r="P21" s="35"/>
      <c r="Q21" s="35"/>
      <c r="R21" s="37"/>
      <c r="S21" s="37"/>
      <c r="T21" s="37"/>
      <c r="U21" s="37"/>
      <c r="V21" s="37"/>
      <c r="W21" s="37"/>
      <c r="X21" s="37"/>
    </row>
    <row r="22" spans="1:24" ht="15.5" x14ac:dyDescent="0.35">
      <c r="A22" s="18"/>
      <c r="B22" s="18"/>
      <c r="C22" s="19"/>
      <c r="D22" s="19"/>
      <c r="E22" s="10"/>
      <c r="F22" s="26"/>
      <c r="G22" s="26"/>
      <c r="H22" s="26"/>
      <c r="I22" s="13"/>
      <c r="J22" s="8"/>
      <c r="K22" s="8"/>
      <c r="L22" s="8"/>
      <c r="M22" s="12"/>
      <c r="N22" s="35"/>
      <c r="O22" s="40"/>
      <c r="P22" s="35"/>
      <c r="Q22" s="35"/>
      <c r="R22" s="37"/>
      <c r="S22" s="37"/>
      <c r="T22" s="37"/>
      <c r="U22" s="37"/>
      <c r="V22" s="37"/>
      <c r="W22" s="37"/>
      <c r="X22" s="37"/>
    </row>
    <row r="23" spans="1:24" ht="15.5" x14ac:dyDescent="0.35">
      <c r="A23" s="18"/>
      <c r="B23" s="18"/>
      <c r="C23" s="19"/>
      <c r="D23" s="19"/>
      <c r="E23" s="10"/>
      <c r="F23" s="26"/>
      <c r="G23" s="26"/>
      <c r="H23" s="26"/>
      <c r="I23" s="13"/>
      <c r="J23" s="8"/>
      <c r="K23" s="8"/>
      <c r="L23" s="8"/>
      <c r="M23" s="13"/>
      <c r="N23" s="35"/>
      <c r="O23" s="40"/>
      <c r="P23" s="35"/>
      <c r="Q23" s="35"/>
      <c r="R23" s="37"/>
      <c r="S23" s="37"/>
      <c r="T23" s="37"/>
      <c r="U23" s="37"/>
      <c r="V23" s="37"/>
      <c r="W23" s="37"/>
      <c r="X23" s="37"/>
    </row>
    <row r="24" spans="1:24" ht="15.5" x14ac:dyDescent="0.35">
      <c r="A24" s="18"/>
      <c r="B24" s="18"/>
      <c r="C24" s="18"/>
      <c r="D24" s="18"/>
      <c r="E24" s="8"/>
      <c r="F24" s="26"/>
      <c r="G24" s="26"/>
      <c r="H24" s="26"/>
      <c r="I24" s="13"/>
      <c r="J24" s="8"/>
      <c r="K24" s="8"/>
      <c r="L24" s="8"/>
      <c r="M24" s="13"/>
      <c r="N24" s="35"/>
      <c r="O24" s="40"/>
      <c r="P24" s="35"/>
      <c r="Q24" s="35"/>
      <c r="R24" s="37"/>
      <c r="S24" s="37"/>
      <c r="T24" s="37"/>
      <c r="U24" s="37"/>
      <c r="V24" s="37"/>
      <c r="W24" s="37"/>
      <c r="X24" s="37"/>
    </row>
    <row r="25" spans="1:24" ht="15.5" x14ac:dyDescent="0.35">
      <c r="A25" s="18"/>
      <c r="B25" s="18"/>
      <c r="C25" s="18"/>
      <c r="D25" s="18"/>
      <c r="E25" s="8"/>
      <c r="F25" s="26"/>
      <c r="G25" s="26"/>
      <c r="H25" s="26"/>
      <c r="I25" s="13"/>
      <c r="J25" s="8"/>
      <c r="K25" s="8"/>
      <c r="L25" s="8"/>
      <c r="M25" s="13"/>
      <c r="N25" s="35"/>
      <c r="O25" s="40"/>
      <c r="P25" s="35"/>
      <c r="Q25" s="35"/>
      <c r="R25" s="37"/>
      <c r="S25" s="37"/>
      <c r="T25" s="37"/>
      <c r="U25" s="37"/>
      <c r="V25" s="37"/>
      <c r="W25" s="37"/>
      <c r="X25" s="37"/>
    </row>
    <row r="26" spans="1:24" ht="15.5" x14ac:dyDescent="0.35">
      <c r="A26" s="18"/>
      <c r="B26" s="18"/>
      <c r="C26" s="18"/>
      <c r="D26" s="18"/>
      <c r="E26" s="8"/>
      <c r="F26" s="26"/>
      <c r="G26" s="26"/>
      <c r="H26" s="26"/>
      <c r="I26" s="13"/>
      <c r="J26" s="8"/>
      <c r="K26" s="8"/>
      <c r="L26" s="8"/>
      <c r="M26" s="13"/>
      <c r="N26" s="35"/>
      <c r="O26" s="40"/>
      <c r="P26" s="35"/>
      <c r="Q26" s="35"/>
      <c r="R26" s="37"/>
      <c r="S26" s="37"/>
      <c r="T26" s="37"/>
      <c r="U26" s="37"/>
      <c r="V26" s="37"/>
      <c r="W26" s="37"/>
      <c r="X26" s="37"/>
    </row>
    <row r="27" spans="1:24" ht="15.5" x14ac:dyDescent="0.35">
      <c r="A27" s="18"/>
      <c r="B27" s="18"/>
      <c r="C27" s="18"/>
      <c r="D27" s="18"/>
      <c r="E27" s="8"/>
      <c r="F27" s="26"/>
      <c r="G27" s="26"/>
      <c r="H27" s="26"/>
      <c r="I27" s="13"/>
      <c r="J27" s="8"/>
      <c r="K27" s="8"/>
      <c r="L27" s="8"/>
      <c r="M27" s="13"/>
      <c r="N27" s="35"/>
      <c r="O27" s="40"/>
      <c r="P27" s="35"/>
      <c r="Q27" s="35"/>
      <c r="R27" s="37"/>
      <c r="S27" s="37"/>
      <c r="T27" s="37"/>
      <c r="U27" s="37"/>
      <c r="V27" s="37"/>
      <c r="W27" s="37"/>
      <c r="X27" s="37"/>
    </row>
    <row r="28" spans="1:24" ht="15.5" x14ac:dyDescent="0.35">
      <c r="A28" s="18"/>
      <c r="B28" s="18"/>
      <c r="C28" s="18"/>
      <c r="D28" s="18"/>
      <c r="E28" s="8"/>
      <c r="F28" s="26"/>
      <c r="G28" s="26"/>
      <c r="H28" s="26"/>
      <c r="I28" s="13"/>
      <c r="J28" s="8"/>
      <c r="K28" s="8"/>
      <c r="L28" s="8"/>
      <c r="M28" s="13"/>
      <c r="N28" s="35"/>
      <c r="O28" s="40"/>
      <c r="P28" s="35"/>
      <c r="Q28" s="35"/>
      <c r="R28" s="37"/>
      <c r="S28" s="37"/>
      <c r="T28" s="37"/>
      <c r="U28" s="37"/>
      <c r="V28" s="37"/>
      <c r="W28" s="37"/>
      <c r="X28" s="37"/>
    </row>
    <row r="29" spans="1:24" ht="15.5" x14ac:dyDescent="0.35">
      <c r="A29" s="18"/>
      <c r="B29" s="18"/>
      <c r="C29" s="18"/>
      <c r="D29" s="18"/>
      <c r="E29" s="8"/>
      <c r="F29" s="26"/>
      <c r="G29" s="26"/>
      <c r="H29" s="26"/>
      <c r="I29" s="13"/>
      <c r="J29" s="8"/>
      <c r="K29" s="8"/>
      <c r="L29" s="8"/>
      <c r="M29" s="13"/>
      <c r="N29" s="35"/>
      <c r="O29" s="40"/>
      <c r="P29" s="35"/>
      <c r="Q29" s="35"/>
      <c r="R29" s="37"/>
      <c r="S29" s="37"/>
      <c r="T29" s="37"/>
      <c r="U29" s="37"/>
      <c r="V29" s="37"/>
      <c r="W29" s="37"/>
      <c r="X29" s="37"/>
    </row>
    <row r="30" spans="1:24" ht="15.5" x14ac:dyDescent="0.35">
      <c r="A30" s="18"/>
      <c r="B30" s="18"/>
      <c r="C30" s="18"/>
      <c r="D30" s="18"/>
      <c r="E30" s="8"/>
      <c r="F30" s="8"/>
      <c r="G30" s="8" t="s">
        <v>59</v>
      </c>
      <c r="H30" s="8">
        <f>COUNT(H13:H29)</f>
        <v>8</v>
      </c>
      <c r="I30" s="13"/>
      <c r="J30" s="8"/>
      <c r="K30" s="8"/>
      <c r="L30" s="8"/>
      <c r="M30" s="13"/>
      <c r="N30" s="35"/>
      <c r="O30" s="40"/>
      <c r="P30" s="35"/>
      <c r="Q30" s="35"/>
      <c r="R30" s="37"/>
      <c r="S30" s="37"/>
      <c r="T30" s="37"/>
      <c r="U30" s="37"/>
      <c r="V30" s="37"/>
      <c r="W30" s="37"/>
      <c r="X30" s="37"/>
    </row>
    <row r="31" spans="1:24" ht="15.5" x14ac:dyDescent="0.35">
      <c r="A31" s="18"/>
      <c r="B31" s="18"/>
      <c r="C31" s="18"/>
      <c r="D31" s="18"/>
      <c r="E31" s="8"/>
      <c r="F31" s="8"/>
      <c r="G31" s="8"/>
      <c r="H31" s="8"/>
      <c r="I31" s="13"/>
      <c r="J31" s="8"/>
      <c r="K31" s="8"/>
      <c r="L31" s="8"/>
      <c r="M31" s="13"/>
      <c r="N31" s="35"/>
      <c r="O31" s="40"/>
      <c r="P31" s="35"/>
      <c r="Q31" s="35"/>
      <c r="R31" s="37"/>
      <c r="S31" s="37"/>
      <c r="T31" s="37"/>
      <c r="U31" s="37"/>
      <c r="V31" s="37"/>
      <c r="W31" s="37"/>
      <c r="X31" s="37"/>
    </row>
    <row r="32" spans="1:24" ht="15.5" x14ac:dyDescent="0.35">
      <c r="A32" s="18"/>
      <c r="B32" s="18"/>
      <c r="C32" s="18"/>
      <c r="D32" s="18"/>
      <c r="E32" s="8"/>
      <c r="F32" s="8"/>
      <c r="G32" s="8"/>
      <c r="H32" s="8"/>
      <c r="I32" s="8"/>
      <c r="J32" s="8"/>
      <c r="K32" s="8"/>
      <c r="L32" s="8"/>
      <c r="M32" s="13"/>
      <c r="N32" s="36"/>
      <c r="O32" s="34"/>
      <c r="P32" s="36"/>
      <c r="Q32" s="36"/>
    </row>
    <row r="33" spans="1:22" ht="15.5" x14ac:dyDescent="0.35">
      <c r="A33" s="18"/>
      <c r="B33" s="18"/>
      <c r="C33" s="18"/>
      <c r="D33" s="18"/>
      <c r="E33" s="8"/>
      <c r="F33" s="39" t="s">
        <v>17</v>
      </c>
      <c r="G33" s="39" t="s">
        <v>33</v>
      </c>
      <c r="H33" s="39" t="s">
        <v>16</v>
      </c>
      <c r="I33" s="8"/>
      <c r="J33" s="8"/>
      <c r="K33" s="8"/>
      <c r="L33" s="8"/>
      <c r="M33" s="13"/>
      <c r="N33" s="36"/>
      <c r="O33" s="34"/>
      <c r="P33" s="36"/>
      <c r="Q33" s="36"/>
    </row>
    <row r="34" spans="1:22" ht="15.5" x14ac:dyDescent="0.35">
      <c r="A34" s="18"/>
      <c r="B34" s="18"/>
      <c r="C34" s="18"/>
      <c r="D34" s="18"/>
      <c r="E34" s="8"/>
      <c r="F34" s="27" t="s">
        <v>20</v>
      </c>
      <c r="G34" s="27" t="s">
        <v>21</v>
      </c>
      <c r="H34" s="27" t="s">
        <v>19</v>
      </c>
      <c r="I34" s="8"/>
      <c r="J34" s="8"/>
      <c r="K34" s="8"/>
      <c r="L34" s="8"/>
      <c r="M34" s="13"/>
      <c r="N34" s="36"/>
      <c r="O34" s="34"/>
      <c r="P34" s="36"/>
      <c r="Q34" s="36"/>
    </row>
    <row r="35" spans="1:22" ht="15.5" x14ac:dyDescent="0.35">
      <c r="A35" s="18"/>
      <c r="B35" s="18"/>
      <c r="C35" s="18"/>
      <c r="D35" s="18"/>
      <c r="E35" s="8"/>
      <c r="F35" s="26" t="s">
        <v>35</v>
      </c>
      <c r="G35" s="26" t="s">
        <v>34</v>
      </c>
      <c r="H35" s="26" t="s">
        <v>19</v>
      </c>
      <c r="I35" s="8"/>
      <c r="J35" s="8"/>
      <c r="K35" s="8"/>
      <c r="L35" s="8"/>
      <c r="M35" s="13"/>
      <c r="N35" s="36"/>
      <c r="O35" s="34"/>
      <c r="P35" s="36"/>
      <c r="Q35" s="36"/>
    </row>
    <row r="36" spans="1:22" ht="15.5" x14ac:dyDescent="0.35">
      <c r="A36" s="18"/>
      <c r="B36" s="18"/>
      <c r="C36" s="18"/>
      <c r="D36" s="18"/>
      <c r="E36" s="8"/>
      <c r="F36" s="26" t="s">
        <v>36</v>
      </c>
      <c r="G36" s="26" t="s">
        <v>37</v>
      </c>
      <c r="H36" s="26" t="s">
        <v>50</v>
      </c>
      <c r="I36" s="8"/>
      <c r="J36" s="8"/>
      <c r="K36" s="8"/>
      <c r="L36" s="8"/>
      <c r="M36" s="13"/>
      <c r="N36" s="36"/>
      <c r="O36" s="34"/>
      <c r="P36" s="36"/>
      <c r="Q36" s="36"/>
    </row>
    <row r="37" spans="1:22" ht="15.5" x14ac:dyDescent="0.35">
      <c r="A37" s="18"/>
      <c r="B37" s="18"/>
      <c r="C37" s="18"/>
      <c r="D37" s="18"/>
      <c r="E37" s="8"/>
      <c r="F37" s="26" t="s">
        <v>38</v>
      </c>
      <c r="G37" s="26" t="s">
        <v>37</v>
      </c>
      <c r="H37" s="26" t="s">
        <v>19</v>
      </c>
      <c r="I37" s="8"/>
      <c r="J37" s="8"/>
      <c r="K37" s="8"/>
      <c r="L37" s="8"/>
      <c r="M37" s="13"/>
      <c r="N37" s="36"/>
      <c r="O37" s="34"/>
      <c r="P37" s="36"/>
      <c r="Q37" s="36"/>
      <c r="V37" s="37"/>
    </row>
    <row r="38" spans="1:22" ht="18.5" x14ac:dyDescent="0.45">
      <c r="A38" s="18"/>
      <c r="B38" s="18"/>
      <c r="C38" s="18"/>
      <c r="D38" s="18"/>
      <c r="E38" s="9"/>
      <c r="F38" s="26" t="s">
        <v>39</v>
      </c>
      <c r="G38" s="26" t="s">
        <v>40</v>
      </c>
      <c r="H38" s="26" t="s">
        <v>19</v>
      </c>
      <c r="I38" s="8"/>
      <c r="J38" s="8"/>
      <c r="K38" s="8"/>
      <c r="L38" s="8"/>
      <c r="M38" s="13"/>
      <c r="N38" s="38"/>
      <c r="O38" s="38"/>
      <c r="P38" s="38"/>
      <c r="Q38" s="38"/>
    </row>
    <row r="39" spans="1:22" ht="15.5" x14ac:dyDescent="0.35">
      <c r="A39" s="18"/>
      <c r="B39" s="18"/>
      <c r="C39" s="18"/>
      <c r="D39" s="18"/>
      <c r="E39" s="11"/>
      <c r="F39" s="26" t="s">
        <v>41</v>
      </c>
      <c r="G39" s="26" t="s">
        <v>42</v>
      </c>
      <c r="H39" s="26" t="s">
        <v>50</v>
      </c>
      <c r="I39" s="8"/>
      <c r="J39" s="8"/>
      <c r="K39" s="8"/>
      <c r="L39" s="8"/>
      <c r="M39" s="13"/>
      <c r="N39" s="38"/>
      <c r="O39" s="38"/>
      <c r="P39" s="38"/>
      <c r="Q39" s="38"/>
    </row>
    <row r="40" spans="1:22" ht="15.5" x14ac:dyDescent="0.35">
      <c r="A40" s="18"/>
      <c r="B40" s="18"/>
      <c r="C40" s="18"/>
      <c r="D40" s="18"/>
      <c r="E40" s="11"/>
      <c r="F40" s="26"/>
      <c r="G40" s="26"/>
      <c r="H40" s="26"/>
      <c r="I40" s="8"/>
      <c r="J40" s="8"/>
      <c r="K40" s="8"/>
      <c r="L40" s="8"/>
      <c r="M40" s="13"/>
      <c r="N40" s="38"/>
      <c r="O40" s="38"/>
      <c r="P40" s="38"/>
      <c r="Q40" s="38"/>
    </row>
    <row r="41" spans="1:22" ht="15.5" x14ac:dyDescent="0.35">
      <c r="A41" s="18"/>
      <c r="B41" s="18"/>
      <c r="C41" s="18"/>
      <c r="D41" s="18"/>
      <c r="E41" s="11"/>
      <c r="F41" s="26"/>
      <c r="G41" s="26"/>
      <c r="H41" s="26"/>
      <c r="I41" s="8"/>
      <c r="J41" s="8"/>
      <c r="K41" s="8"/>
      <c r="L41" s="8"/>
      <c r="M41" s="13"/>
      <c r="N41" s="41"/>
      <c r="O41" s="41"/>
      <c r="P41" s="41"/>
      <c r="Q41" s="41"/>
    </row>
    <row r="42" spans="1:22" ht="15.5" x14ac:dyDescent="0.35">
      <c r="A42" s="18"/>
      <c r="B42" s="18"/>
      <c r="C42" s="18"/>
      <c r="D42" s="18"/>
      <c r="E42" s="13"/>
      <c r="F42" s="26"/>
      <c r="G42" s="26"/>
      <c r="H42" s="26"/>
      <c r="I42" s="8"/>
      <c r="J42" s="8"/>
      <c r="K42" s="8"/>
      <c r="L42" s="8"/>
      <c r="M42" s="13"/>
      <c r="N42" s="37"/>
      <c r="O42" s="37"/>
      <c r="P42" s="37"/>
      <c r="Q42" s="37"/>
      <c r="R42" s="37"/>
      <c r="S42" s="37"/>
    </row>
    <row r="43" spans="1:22" ht="15.5" x14ac:dyDescent="0.35">
      <c r="A43" s="18"/>
      <c r="B43" s="18"/>
      <c r="C43" s="18"/>
      <c r="D43" s="18"/>
      <c r="E43" s="13"/>
      <c r="F43" s="26"/>
      <c r="G43" s="26"/>
      <c r="H43" s="26"/>
      <c r="I43" s="8"/>
      <c r="J43" s="8"/>
      <c r="K43" s="8"/>
      <c r="L43" s="8"/>
      <c r="M43" s="13"/>
      <c r="S43" s="37"/>
    </row>
    <row r="44" spans="1:22" ht="18.5" x14ac:dyDescent="0.45">
      <c r="A44" s="18"/>
      <c r="B44" s="18"/>
      <c r="C44" s="18"/>
      <c r="D44" s="18"/>
      <c r="E44" s="13"/>
      <c r="F44" s="26"/>
      <c r="G44" s="26"/>
      <c r="H44" s="26"/>
      <c r="I44" s="8"/>
      <c r="J44" s="8"/>
      <c r="K44" s="8"/>
      <c r="L44" s="8"/>
      <c r="M44" s="13"/>
      <c r="N44" s="31"/>
      <c r="O44" s="31"/>
      <c r="P44" s="31"/>
      <c r="Q44" s="32"/>
      <c r="R44" s="32"/>
      <c r="S44" s="32"/>
    </row>
    <row r="45" spans="1:22" ht="15.5" x14ac:dyDescent="0.35">
      <c r="A45" s="18"/>
      <c r="B45" s="18"/>
      <c r="C45" s="18"/>
      <c r="D45" s="18"/>
      <c r="E45" s="13"/>
      <c r="F45" s="26"/>
      <c r="G45" s="26"/>
      <c r="H45" s="26"/>
      <c r="I45" s="8"/>
      <c r="J45" s="8"/>
      <c r="K45" s="8"/>
      <c r="L45" s="8"/>
      <c r="M45" s="13"/>
    </row>
    <row r="46" spans="1:22" ht="15.5" x14ac:dyDescent="0.35">
      <c r="A46" s="18"/>
      <c r="B46" s="18"/>
      <c r="C46" s="18"/>
      <c r="D46" s="18"/>
      <c r="E46" s="13"/>
      <c r="F46" s="26"/>
      <c r="G46" s="26"/>
      <c r="H46" s="26"/>
      <c r="I46" s="8"/>
      <c r="J46" s="8"/>
      <c r="K46" s="8"/>
      <c r="L46" s="8"/>
      <c r="M46" s="11"/>
    </row>
    <row r="47" spans="1:22" ht="15.5" x14ac:dyDescent="0.35">
      <c r="A47" s="18"/>
      <c r="B47" s="18"/>
      <c r="C47" s="18"/>
      <c r="D47" s="18"/>
      <c r="E47" s="13"/>
      <c r="F47" s="26"/>
      <c r="G47" s="26"/>
      <c r="H47" s="26"/>
      <c r="I47" s="8"/>
      <c r="J47" s="8"/>
      <c r="K47" s="8"/>
      <c r="L47" s="8"/>
      <c r="M47" s="10"/>
    </row>
    <row r="48" spans="1:22" ht="15.5" x14ac:dyDescent="0.35">
      <c r="A48" s="18"/>
      <c r="B48" s="18"/>
      <c r="C48" s="18"/>
      <c r="D48" s="18"/>
      <c r="E48" s="13"/>
      <c r="F48" s="26"/>
      <c r="G48" s="26"/>
      <c r="H48" s="26"/>
      <c r="I48" s="8"/>
      <c r="J48" s="8"/>
      <c r="K48" s="8"/>
      <c r="L48" s="8"/>
      <c r="M48" s="8"/>
    </row>
    <row r="49" spans="1:26" ht="15.5" x14ac:dyDescent="0.35">
      <c r="A49" s="18"/>
      <c r="B49" s="18"/>
      <c r="C49" s="18"/>
      <c r="D49" s="18"/>
      <c r="E49" s="13"/>
      <c r="F49" s="8"/>
      <c r="G49" s="54" t="s">
        <v>66</v>
      </c>
      <c r="H49" s="8">
        <f>COUNTIF(H34:H48,"incomplete")</f>
        <v>4</v>
      </c>
      <c r="I49" s="8"/>
      <c r="J49" s="8"/>
      <c r="K49" s="8"/>
      <c r="L49" s="8"/>
      <c r="M49" s="8"/>
    </row>
    <row r="50" spans="1:26" ht="18.5" x14ac:dyDescent="0.45">
      <c r="A50" s="1"/>
      <c r="B50" s="1"/>
      <c r="C50" s="1"/>
      <c r="D50" s="1"/>
      <c r="E50" s="1"/>
      <c r="F50" s="1"/>
      <c r="G50" s="1"/>
      <c r="H50" s="49" t="s">
        <v>0</v>
      </c>
      <c r="I50" s="49"/>
      <c r="J50" s="49"/>
      <c r="K50" s="50" t="s">
        <v>1</v>
      </c>
      <c r="L50" s="51"/>
      <c r="M50" s="51"/>
      <c r="N50" s="49" t="s">
        <v>2</v>
      </c>
      <c r="O50" s="53"/>
      <c r="P50" s="53"/>
      <c r="Q50" s="52" t="s">
        <v>3</v>
      </c>
      <c r="R50" s="52"/>
      <c r="S50" s="52"/>
      <c r="T50" s="1"/>
      <c r="U50" s="1"/>
      <c r="V50" s="1"/>
      <c r="W50" s="1"/>
      <c r="X50" s="1"/>
      <c r="Y50" s="1"/>
      <c r="Z50" s="1"/>
    </row>
  </sheetData>
  <sortState xmlns:xlrd2="http://schemas.microsoft.com/office/spreadsheetml/2017/richdata2" ref="F13:H20">
    <sortCondition ref="H13:H20"/>
  </sortState>
  <mergeCells count="5">
    <mergeCell ref="I5:M6"/>
    <mergeCell ref="H50:J50"/>
    <mergeCell ref="K50:M50"/>
    <mergeCell ref="N50:P50"/>
    <mergeCell ref="Q50:S50"/>
  </mergeCells>
  <phoneticPr fontId="17" type="noConversion"/>
  <conditionalFormatting sqref="N13:Q37">
    <cfRule type="timePeriod" dxfId="50" priority="24" timePeriod="thisWeek">
      <formula>AND(TODAY()-ROUNDDOWN(N13,0)&lt;=WEEKDAY(TODAY())-1,ROUNDDOWN(N13,0)-TODAY()&lt;=7-WEEKDAY(TODAY()))</formula>
    </cfRule>
    <cfRule type="timePeriod" dxfId="49" priority="25" timePeriod="thisMonth">
      <formula>AND(MONTH(N13)=MONTH(TODAY()),YEAR(N13)=YEAR(TODAY()))</formula>
    </cfRule>
    <cfRule type="timePeriod" dxfId="48" priority="26" timePeriod="lastMonth">
      <formula>AND(MONTH(N13)=MONTH(EDATE(TODAY(),0-1)),YEAR(N13)=YEAR(EDATE(TODAY(),0-1)))</formula>
    </cfRule>
  </conditionalFormatting>
  <conditionalFormatting sqref="I18:I31 M18:M42">
    <cfRule type="timePeriod" dxfId="47" priority="21" timePeriod="thisWeek">
      <formula>AND(TODAY()-ROUNDDOWN(I18,0)&lt;=WEEKDAY(TODAY())-1,ROUNDDOWN(I18,0)-TODAY()&lt;=7-WEEKDAY(TODAY()))</formula>
    </cfRule>
    <cfRule type="timePeriod" dxfId="46" priority="22" timePeriod="thisMonth">
      <formula>AND(MONTH(I18)=MONTH(TODAY()),YEAR(I18)=YEAR(TODAY()))</formula>
    </cfRule>
    <cfRule type="timePeriod" dxfId="45" priority="23" timePeriod="lastMonth">
      <formula>AND(MONTH(I18)=MONTH(EDATE(TODAY(),0-1)),YEAR(I18)=YEAR(EDATE(TODAY(),0-1)))</formula>
    </cfRule>
  </conditionalFormatting>
  <conditionalFormatting sqref="E39:E50">
    <cfRule type="timePeriod" dxfId="44" priority="18" timePeriod="thisWeek">
      <formula>AND(TODAY()-ROUNDDOWN(E39,0)&lt;=WEEKDAY(TODAY())-1,ROUNDDOWN(E39,0)-TODAY()&lt;=7-WEEKDAY(TODAY()))</formula>
    </cfRule>
    <cfRule type="timePeriod" dxfId="43" priority="19" timePeriod="thisMonth">
      <formula>AND(MONTH(E39)=MONTH(TODAY()),YEAR(E39)=YEAR(TODAY()))</formula>
    </cfRule>
    <cfRule type="timePeriod" dxfId="42" priority="20" timePeriod="lastMonth">
      <formula>AND(MONTH(E39)=MONTH(EDATE(TODAY(),0-1)),YEAR(E39)=YEAR(EDATE(TODAY(),0-1)))</formula>
    </cfRule>
  </conditionalFormatting>
  <conditionalFormatting sqref="H34:H48">
    <cfRule type="cellIs" dxfId="41" priority="16" operator="equal">
      <formula>"Complete"</formula>
    </cfRule>
    <cfRule type="cellIs" dxfId="40" priority="17" operator="equal">
      <formula>"Incomplete"</formula>
    </cfRule>
  </conditionalFormatting>
  <conditionalFormatting sqref="G13:G29">
    <cfRule type="cellIs" dxfId="39" priority="11" operator="equal">
      <formula>"Math 115"</formula>
    </cfRule>
    <cfRule type="cellIs" dxfId="38" priority="12" operator="equal">
      <formula>"Phys 115"</formula>
    </cfRule>
    <cfRule type="cellIs" dxfId="37" priority="13" operator="equal">
      <formula>"Chem 102"</formula>
    </cfRule>
    <cfRule type="cellIs" dxfId="36" priority="14" operator="equal">
      <formula>"Msci 100"</formula>
    </cfRule>
    <cfRule type="cellIs" dxfId="35" priority="15" operator="equal">
      <formula>"Math 116"</formula>
    </cfRule>
  </conditionalFormatting>
  <conditionalFormatting sqref="H13:H29">
    <cfRule type="timePeriod" dxfId="34" priority="7" timePeriod="today">
      <formula>FLOOR(H13,1)=TODAY()</formula>
    </cfRule>
    <cfRule type="timePeriod" dxfId="33" priority="8" timePeriod="thisMonth">
      <formula>AND(MONTH(H13)=MONTH(TODAY()),YEAR(H13)=YEAR(TODAY()))</formula>
    </cfRule>
    <cfRule type="timePeriod" dxfId="32" priority="9" timePeriod="today">
      <formula>FLOOR(H13,1)=TODAY()</formula>
    </cfRule>
    <cfRule type="timePeriod" dxfId="31" priority="10" timePeriod="lastMonth">
      <formula>AND(MONTH(H13)=MONTH(EDATE(TODAY(),0-1)),YEAR(H13)=YEAR(EDATE(TODAY(),0-1)))</formula>
    </cfRule>
    <cfRule type="timePeriod" dxfId="30" priority="6" timePeriod="yesterday">
      <formula>FLOOR(H13,1)=TODAY()-1</formula>
    </cfRule>
    <cfRule type="timePeriod" dxfId="29" priority="5" timePeriod="nextMonth">
      <formula>AND(MONTH(H13)=MONTH(EDATE(TODAY(),0+1)),YEAR(H13)=YEAR(EDATE(TODAY(),0+1)))</formula>
    </cfRule>
    <cfRule type="timePeriod" dxfId="28" priority="4" timePeriod="thisMonth">
      <formula>AND(MONTH(H13)=MONTH(TODAY()),YEAR(H13)=YEAR(TODAY()))</formula>
    </cfRule>
    <cfRule type="timePeriod" dxfId="27" priority="3" timePeriod="today">
      <formula>FLOOR(H13,1)=TODAY()</formula>
    </cfRule>
  </conditionalFormatting>
  <conditionalFormatting sqref="H49">
    <cfRule type="cellIs" dxfId="0" priority="2" operator="equal">
      <formula>0</formula>
    </cfRule>
    <cfRule type="cellIs" dxfId="1" priority="1" operator="greaterThan">
      <formula>1</formula>
    </cfRule>
  </conditionalFormatting>
  <hyperlinks>
    <hyperlink ref="F8" location="Home!A1" display="Home" xr:uid="{7ABBC267-BBF5-4E68-A832-1889EDEC1ECD}"/>
    <hyperlink ref="G8" location="Scheduling!A1" display="Scheduling" xr:uid="{C2A3F861-67C2-4921-A138-3B057FFB1B05}"/>
    <hyperlink ref="K8" location="Grades!A1" display="Grades" xr:uid="{07CD62BD-1E3B-4B04-BA37-F016DBDA086F}"/>
    <hyperlink ref="L8" location="'Data Center'!A1" display="Data Center" xr:uid="{F3F90287-B189-4C77-AD00-D80A2873A04E}"/>
    <hyperlink ref="Q50:S50" location="'Data Center'!A1" display="Data Center" xr:uid="{D2DF4080-F36A-4DDA-947C-AB530BC710D8}"/>
    <hyperlink ref="H50:J50" location="Home!A1" display="Home" xr:uid="{68508306-FE35-4399-A439-2FA48680E6BE}"/>
    <hyperlink ref="K50:M50" location="Scheduling!A1" display="Scheduling" xr:uid="{0FFEDAD8-7B9F-4F4A-A78A-6A32E91516DA}"/>
    <hyperlink ref="N50:P50" location="Grades!A1" display="Grades" xr:uid="{718C93F9-7DD9-4031-87E5-04D47B15284B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DeleteToDo">
          <controlPr defaultSize="0" autoLine="0" r:id="rId5">
            <anchor moveWithCells="1">
              <from>
                <xdr:col>0</xdr:col>
                <xdr:colOff>101600</xdr:colOff>
                <xdr:row>19</xdr:row>
                <xdr:rowOff>50800</xdr:rowOff>
              </from>
              <to>
                <xdr:col>3</xdr:col>
                <xdr:colOff>393700</xdr:colOff>
                <xdr:row>22</xdr:row>
                <xdr:rowOff>76200</xdr:rowOff>
              </to>
            </anchor>
          </controlPr>
        </control>
      </mc:Choice>
      <mc:Fallback>
        <control shapeId="2051" r:id="rId4" name="DeleteToDo"/>
      </mc:Fallback>
    </mc:AlternateContent>
    <mc:AlternateContent xmlns:mc="http://schemas.openxmlformats.org/markup-compatibility/2006">
      <mc:Choice Requires="x14">
        <control shapeId="2052" r:id="rId6" name="StatusUpdate">
          <controlPr defaultSize="0" autoLine="0" r:id="rId7">
            <anchor moveWithCells="1">
              <from>
                <xdr:col>0</xdr:col>
                <xdr:colOff>139700</xdr:colOff>
                <xdr:row>23</xdr:row>
                <xdr:rowOff>38100</xdr:rowOff>
              </from>
              <to>
                <xdr:col>3</xdr:col>
                <xdr:colOff>355600</xdr:colOff>
                <xdr:row>26</xdr:row>
                <xdr:rowOff>38100</xdr:rowOff>
              </to>
            </anchor>
          </controlPr>
        </control>
      </mc:Choice>
      <mc:Fallback>
        <control shapeId="2052" r:id="rId6" name="StatusUpdate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Sheet2.openAddToDo1">
            <anchor moveWithCells="1" sizeWithCells="1">
              <from>
                <xdr:col>0</xdr:col>
                <xdr:colOff>114300</xdr:colOff>
                <xdr:row>12</xdr:row>
                <xdr:rowOff>133350</xdr:rowOff>
              </from>
              <to>
                <xdr:col>3</xdr:col>
                <xdr:colOff>425450</xdr:colOff>
                <xdr:row>15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9" name="Button 2">
          <controlPr defaultSize="0" print="0" autoFill="0" autoPict="0" macro="[0]!Sheet2.openAddTasks">
            <anchor moveWithCells="1" sizeWithCells="1">
              <from>
                <xdr:col>0</xdr:col>
                <xdr:colOff>101600</xdr:colOff>
                <xdr:row>16</xdr:row>
                <xdr:rowOff>6350</xdr:rowOff>
              </from>
              <to>
                <xdr:col>3</xdr:col>
                <xdr:colOff>412750</xdr:colOff>
                <xdr:row>18</xdr:row>
                <xdr:rowOff>57150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B630-7AA2-47F6-ADF0-CB0C5668A777}">
  <sheetPr codeName="Sheet3"/>
  <dimension ref="A1:Z40"/>
  <sheetViews>
    <sheetView zoomScale="62" workbookViewId="0">
      <selection activeCell="K3" sqref="K3:M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48" t="s">
        <v>2</v>
      </c>
      <c r="L1" s="48"/>
      <c r="M1" s="48"/>
      <c r="N1" s="48"/>
      <c r="O1" s="48"/>
      <c r="P1" s="48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48"/>
      <c r="L2" s="48"/>
      <c r="M2" s="48"/>
      <c r="N2" s="48"/>
      <c r="O2" s="48"/>
      <c r="P2" s="48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49" t="s">
        <v>0</v>
      </c>
      <c r="I3" s="49"/>
      <c r="J3" s="49"/>
      <c r="K3" s="50" t="s">
        <v>1</v>
      </c>
      <c r="L3" s="51"/>
      <c r="M3" s="51"/>
      <c r="N3" s="52" t="s">
        <v>2</v>
      </c>
      <c r="O3" s="53"/>
      <c r="P3" s="53"/>
      <c r="Q3" s="50" t="s">
        <v>3</v>
      </c>
      <c r="R3" s="50"/>
      <c r="S3" s="50"/>
      <c r="T3" s="1"/>
      <c r="U3" s="1"/>
      <c r="V3" s="1"/>
      <c r="W3" s="1"/>
      <c r="X3" s="1"/>
      <c r="Y3" s="1"/>
      <c r="Z3" s="1"/>
    </row>
    <row r="4" spans="1:26" x14ac:dyDescent="0.35">
      <c r="A4" s="6" t="s">
        <v>7</v>
      </c>
      <c r="B4" s="6"/>
      <c r="C4" s="6"/>
      <c r="D4" s="6" t="s">
        <v>8</v>
      </c>
      <c r="E4" s="6"/>
      <c r="F4" s="6"/>
      <c r="G4" s="6" t="s">
        <v>9</v>
      </c>
      <c r="H4" s="6"/>
      <c r="I4" s="6"/>
      <c r="J4" s="6" t="s">
        <v>10</v>
      </c>
      <c r="K4" s="6"/>
      <c r="L4" s="6"/>
      <c r="M4" s="6"/>
      <c r="N4" s="6" t="s">
        <v>11</v>
      </c>
      <c r="O4" s="6"/>
      <c r="P4" s="6"/>
      <c r="Q4" s="6"/>
      <c r="R4" s="6" t="s">
        <v>12</v>
      </c>
      <c r="S4" s="6"/>
      <c r="T4" s="6"/>
      <c r="U4" s="6" t="s">
        <v>13</v>
      </c>
      <c r="V4" s="6"/>
      <c r="W4" s="6"/>
      <c r="X4" s="6" t="s">
        <v>6</v>
      </c>
      <c r="Y4" s="6"/>
      <c r="Z4" s="6" t="s">
        <v>14</v>
      </c>
    </row>
    <row r="5" spans="1:26" x14ac:dyDescent="0.35">
      <c r="A5" s="43" t="s">
        <v>45</v>
      </c>
      <c r="B5" s="43"/>
      <c r="C5" s="43"/>
      <c r="D5" s="43" t="s">
        <v>15</v>
      </c>
      <c r="E5" s="43"/>
      <c r="F5" s="43"/>
      <c r="G5" s="43" t="s">
        <v>46</v>
      </c>
      <c r="H5" s="43"/>
      <c r="I5" s="43"/>
      <c r="J5" s="43">
        <v>25</v>
      </c>
      <c r="K5" s="43"/>
      <c r="L5" s="43"/>
      <c r="M5" s="43"/>
      <c r="N5" s="43">
        <v>85</v>
      </c>
      <c r="O5" s="43"/>
      <c r="P5" s="43"/>
      <c r="Q5" s="43"/>
      <c r="R5" s="43">
        <v>75</v>
      </c>
      <c r="S5" s="43"/>
      <c r="T5" s="43"/>
      <c r="U5" s="43">
        <v>12</v>
      </c>
      <c r="V5" s="43"/>
      <c r="W5" s="43"/>
      <c r="X5" s="46">
        <v>43835</v>
      </c>
      <c r="Y5" s="43"/>
      <c r="Z5" s="44">
        <f>R5-N5</f>
        <v>-10</v>
      </c>
    </row>
    <row r="6" spans="1:26" x14ac:dyDescent="0.35">
      <c r="A6" s="43" t="s">
        <v>51</v>
      </c>
      <c r="B6" s="43"/>
      <c r="C6" s="43"/>
      <c r="D6" s="43" t="s">
        <v>29</v>
      </c>
      <c r="E6" s="43"/>
      <c r="F6" s="43"/>
      <c r="G6" s="43" t="s">
        <v>46</v>
      </c>
      <c r="H6" s="43"/>
      <c r="I6" s="43"/>
      <c r="J6" s="43">
        <v>10</v>
      </c>
      <c r="K6" s="43"/>
      <c r="L6" s="43"/>
      <c r="M6" s="43"/>
      <c r="N6" s="43">
        <v>85</v>
      </c>
      <c r="O6" s="43"/>
      <c r="P6" s="43"/>
      <c r="Q6" s="43"/>
      <c r="R6" s="43">
        <v>90</v>
      </c>
      <c r="S6" s="43"/>
      <c r="T6" s="43"/>
      <c r="U6" s="43">
        <v>2</v>
      </c>
      <c r="V6" s="43"/>
      <c r="W6" s="43"/>
      <c r="X6" s="46">
        <v>43833</v>
      </c>
      <c r="Y6" s="43"/>
      <c r="Z6" s="44">
        <f t="shared" ref="Z6:Z37" si="0">R6-N6</f>
        <v>5</v>
      </c>
    </row>
    <row r="7" spans="1:26" x14ac:dyDescent="0.35">
      <c r="A7" s="43" t="s">
        <v>52</v>
      </c>
      <c r="B7" s="43"/>
      <c r="C7" s="43"/>
      <c r="D7" s="43" t="s">
        <v>25</v>
      </c>
      <c r="E7" s="43"/>
      <c r="F7" s="43"/>
      <c r="G7" s="43" t="s">
        <v>53</v>
      </c>
      <c r="H7" s="43"/>
      <c r="I7" s="43"/>
      <c r="J7" s="43">
        <v>20</v>
      </c>
      <c r="K7" s="43"/>
      <c r="L7" s="43"/>
      <c r="M7" s="43"/>
      <c r="N7" s="43">
        <v>70</v>
      </c>
      <c r="O7" s="43"/>
      <c r="P7" s="43"/>
      <c r="Q7" s="43"/>
      <c r="R7" s="43">
        <v>62</v>
      </c>
      <c r="S7" s="43"/>
      <c r="T7" s="43"/>
      <c r="U7" s="43">
        <v>10</v>
      </c>
      <c r="V7" s="43"/>
      <c r="W7" s="43"/>
      <c r="X7" s="46">
        <v>43834</v>
      </c>
      <c r="Y7" s="43"/>
      <c r="Z7" s="44">
        <f t="shared" si="0"/>
        <v>-8</v>
      </c>
    </row>
    <row r="8" spans="1:26" x14ac:dyDescent="0.35">
      <c r="A8" s="43" t="s">
        <v>54</v>
      </c>
      <c r="B8" s="43"/>
      <c r="C8" s="43"/>
      <c r="D8" s="43" t="s">
        <v>22</v>
      </c>
      <c r="E8" s="43"/>
      <c r="F8" s="43"/>
      <c r="G8" s="43" t="s">
        <v>55</v>
      </c>
      <c r="H8" s="43"/>
      <c r="I8" s="43"/>
      <c r="J8" s="43">
        <v>50</v>
      </c>
      <c r="K8" s="43"/>
      <c r="L8" s="43"/>
      <c r="M8" s="43"/>
      <c r="N8" s="43">
        <v>60</v>
      </c>
      <c r="O8" s="43"/>
      <c r="P8" s="43"/>
      <c r="Q8" s="43"/>
      <c r="R8" s="43">
        <v>70</v>
      </c>
      <c r="S8" s="43"/>
      <c r="T8" s="43"/>
      <c r="U8" s="43">
        <v>22</v>
      </c>
      <c r="V8" s="43"/>
      <c r="W8" s="43"/>
      <c r="X8" s="46">
        <v>43836</v>
      </c>
      <c r="Y8" s="43"/>
      <c r="Z8" s="44">
        <f t="shared" si="0"/>
        <v>10</v>
      </c>
    </row>
    <row r="9" spans="1:26" x14ac:dyDescent="0.35">
      <c r="A9" s="43" t="s">
        <v>30</v>
      </c>
      <c r="B9" s="43"/>
      <c r="C9" s="43"/>
      <c r="D9" s="43" t="s">
        <v>31</v>
      </c>
      <c r="E9" s="43"/>
      <c r="F9" s="43"/>
      <c r="G9" s="43" t="s">
        <v>46</v>
      </c>
      <c r="H9" s="43"/>
      <c r="I9" s="43"/>
      <c r="J9" s="43">
        <v>5</v>
      </c>
      <c r="K9" s="43"/>
      <c r="L9" s="43"/>
      <c r="M9" s="43"/>
      <c r="N9" s="43">
        <v>100</v>
      </c>
      <c r="O9" s="43"/>
      <c r="P9" s="43"/>
      <c r="Q9" s="43"/>
      <c r="R9" s="43">
        <v>100</v>
      </c>
      <c r="S9" s="43"/>
      <c r="T9" s="43"/>
      <c r="U9" s="43">
        <v>3</v>
      </c>
      <c r="V9" s="43"/>
      <c r="W9" s="43"/>
      <c r="X9" s="46">
        <v>43840</v>
      </c>
      <c r="Y9" s="43"/>
      <c r="Z9" s="44">
        <f t="shared" si="0"/>
        <v>0</v>
      </c>
    </row>
    <row r="10" spans="1:26" x14ac:dyDescent="0.3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4">
        <f t="shared" si="0"/>
        <v>0</v>
      </c>
    </row>
    <row r="11" spans="1:26" x14ac:dyDescent="0.3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4">
        <f t="shared" si="0"/>
        <v>0</v>
      </c>
    </row>
    <row r="12" spans="1:26" x14ac:dyDescent="0.3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4">
        <f t="shared" si="0"/>
        <v>0</v>
      </c>
    </row>
    <row r="13" spans="1:26" x14ac:dyDescent="0.3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4">
        <f t="shared" si="0"/>
        <v>0</v>
      </c>
    </row>
    <row r="14" spans="1:26" x14ac:dyDescent="0.3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4">
        <f t="shared" si="0"/>
        <v>0</v>
      </c>
    </row>
    <row r="15" spans="1:26" x14ac:dyDescent="0.3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4">
        <f t="shared" si="0"/>
        <v>0</v>
      </c>
    </row>
    <row r="16" spans="1:26" x14ac:dyDescent="0.3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4">
        <f t="shared" si="0"/>
        <v>0</v>
      </c>
    </row>
    <row r="17" spans="1:26" x14ac:dyDescent="0.3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4">
        <f t="shared" si="0"/>
        <v>0</v>
      </c>
    </row>
    <row r="18" spans="1:26" x14ac:dyDescent="0.3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4">
        <f t="shared" si="0"/>
        <v>0</v>
      </c>
    </row>
    <row r="19" spans="1:26" x14ac:dyDescent="0.3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4">
        <f t="shared" si="0"/>
        <v>0</v>
      </c>
    </row>
    <row r="20" spans="1:26" x14ac:dyDescent="0.3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4">
        <f t="shared" si="0"/>
        <v>0</v>
      </c>
    </row>
    <row r="21" spans="1:26" x14ac:dyDescent="0.3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4">
        <f t="shared" si="0"/>
        <v>0</v>
      </c>
    </row>
    <row r="22" spans="1:26" x14ac:dyDescent="0.3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4">
        <f t="shared" si="0"/>
        <v>0</v>
      </c>
    </row>
    <row r="23" spans="1:26" x14ac:dyDescent="0.3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4">
        <f t="shared" si="0"/>
        <v>0</v>
      </c>
    </row>
    <row r="24" spans="1:26" x14ac:dyDescent="0.3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4">
        <f t="shared" si="0"/>
        <v>0</v>
      </c>
    </row>
    <row r="25" spans="1:26" x14ac:dyDescent="0.3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4">
        <f t="shared" si="0"/>
        <v>0</v>
      </c>
    </row>
    <row r="26" spans="1:26" x14ac:dyDescent="0.3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4">
        <f t="shared" si="0"/>
        <v>0</v>
      </c>
    </row>
    <row r="27" spans="1:26" x14ac:dyDescent="0.3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4">
        <f t="shared" si="0"/>
        <v>0</v>
      </c>
    </row>
    <row r="28" spans="1:26" x14ac:dyDescent="0.3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4">
        <f t="shared" si="0"/>
        <v>0</v>
      </c>
    </row>
    <row r="29" spans="1:26" x14ac:dyDescent="0.3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4">
        <f t="shared" si="0"/>
        <v>0</v>
      </c>
    </row>
    <row r="30" spans="1:26" x14ac:dyDescent="0.3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4">
        <f t="shared" si="0"/>
        <v>0</v>
      </c>
    </row>
    <row r="31" spans="1:26" x14ac:dyDescent="0.3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4">
        <f t="shared" si="0"/>
        <v>0</v>
      </c>
    </row>
    <row r="32" spans="1:26" x14ac:dyDescent="0.3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4">
        <f>R32-N32</f>
        <v>0</v>
      </c>
    </row>
    <row r="33" spans="1:26" x14ac:dyDescent="0.3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4">
        <f>R33-N33</f>
        <v>0</v>
      </c>
    </row>
    <row r="34" spans="1:26" x14ac:dyDescent="0.3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4">
        <f t="shared" si="0"/>
        <v>0</v>
      </c>
    </row>
    <row r="35" spans="1:26" x14ac:dyDescent="0.3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4">
        <f t="shared" si="0"/>
        <v>0</v>
      </c>
    </row>
    <row r="36" spans="1:26" x14ac:dyDescent="0.3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4">
        <f t="shared" si="0"/>
        <v>0</v>
      </c>
    </row>
    <row r="37" spans="1:26" x14ac:dyDescent="0.3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4">
        <f t="shared" si="0"/>
        <v>0</v>
      </c>
    </row>
    <row r="38" spans="1:26" x14ac:dyDescent="0.35">
      <c r="A38" s="45" t="s">
        <v>47</v>
      </c>
      <c r="B38" s="45"/>
      <c r="C38" s="45">
        <f>SUM(U5:U38)</f>
        <v>49</v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 t="s">
        <v>48</v>
      </c>
      <c r="Y38" s="45"/>
      <c r="Z38" s="45">
        <f>SUM(Z5:Z37)</f>
        <v>-3</v>
      </c>
    </row>
    <row r="39" spans="1:26" x14ac:dyDescent="0.35">
      <c r="A39" s="45" t="s">
        <v>58</v>
      </c>
      <c r="B39" s="45"/>
      <c r="C39" s="45">
        <f>COUNT(J5:J37)</f>
        <v>5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 t="s">
        <v>49</v>
      </c>
      <c r="Y39" s="45"/>
      <c r="Z39" s="45" t="str">
        <f>IMDIV(Z38,32)</f>
        <v>-0.09375</v>
      </c>
    </row>
    <row r="40" spans="1:26" ht="18.5" x14ac:dyDescent="0.45">
      <c r="A40" s="1"/>
      <c r="B40" s="1"/>
      <c r="C40" s="1"/>
      <c r="D40" s="1"/>
      <c r="E40" s="1"/>
      <c r="F40" s="1"/>
      <c r="G40" s="1"/>
      <c r="H40" s="49" t="s">
        <v>0</v>
      </c>
      <c r="I40" s="49"/>
      <c r="J40" s="49"/>
      <c r="K40" s="50" t="s">
        <v>1</v>
      </c>
      <c r="L40" s="51"/>
      <c r="M40" s="51"/>
      <c r="N40" s="49" t="s">
        <v>2</v>
      </c>
      <c r="O40" s="53"/>
      <c r="P40" s="53"/>
      <c r="Q40" s="52" t="s">
        <v>3</v>
      </c>
      <c r="R40" s="52"/>
      <c r="S40" s="52"/>
      <c r="T40" s="1"/>
      <c r="U40" s="1"/>
      <c r="V40" s="1"/>
      <c r="W40" s="1"/>
      <c r="X40" s="1"/>
      <c r="Y40" s="1"/>
      <c r="Z40" s="1"/>
    </row>
  </sheetData>
  <mergeCells count="9">
    <mergeCell ref="H40:J40"/>
    <mergeCell ref="K40:M40"/>
    <mergeCell ref="N40:P40"/>
    <mergeCell ref="Q40:S40"/>
    <mergeCell ref="K1:P2"/>
    <mergeCell ref="H3:J3"/>
    <mergeCell ref="K3:M3"/>
    <mergeCell ref="N3:P3"/>
    <mergeCell ref="Q3:S3"/>
  </mergeCells>
  <conditionalFormatting sqref="Z5:Z37">
    <cfRule type="cellIs" dxfId="212" priority="12" operator="greaterThan">
      <formula>1</formula>
    </cfRule>
    <cfRule type="cellIs" dxfId="211" priority="13" operator="lessThan">
      <formula>-1</formula>
    </cfRule>
  </conditionalFormatting>
  <conditionalFormatting sqref="J5:J37">
    <cfRule type="cellIs" dxfId="210" priority="9" operator="equal">
      <formula>25</formula>
    </cfRule>
    <cfRule type="cellIs" dxfId="209" priority="10" operator="lessThan">
      <formula>25</formula>
    </cfRule>
    <cfRule type="cellIs" dxfId="208" priority="11" operator="greaterThan">
      <formula>25</formula>
    </cfRule>
  </conditionalFormatting>
  <conditionalFormatting sqref="R5:R37">
    <cfRule type="cellIs" dxfId="207" priority="6" operator="greaterThan">
      <formula>80</formula>
    </cfRule>
    <cfRule type="cellIs" dxfId="206" priority="7" operator="lessThan">
      <formula>60</formula>
    </cfRule>
    <cfRule type="cellIs" dxfId="205" priority="8" operator="greaterThan">
      <formula>60</formula>
    </cfRule>
  </conditionalFormatting>
  <conditionalFormatting sqref="D5:D37">
    <cfRule type="cellIs" dxfId="204" priority="1" operator="equal">
      <formula>"Math 116"</formula>
    </cfRule>
    <cfRule type="cellIs" dxfId="203" priority="2" operator="equal">
      <formula>"Chem 102"</formula>
    </cfRule>
    <cfRule type="cellIs" dxfId="202" priority="3" operator="equal">
      <formula>"Phys 115"</formula>
    </cfRule>
    <cfRule type="cellIs" dxfId="201" priority="4" operator="equal">
      <formula>"Msci 100"</formula>
    </cfRule>
    <cfRule type="cellIs" dxfId="200" priority="5" operator="equal">
      <formula>"Math 115"</formula>
    </cfRule>
  </conditionalFormatting>
  <hyperlinks>
    <hyperlink ref="Q3:S3" location="'Data Center'!A1" display="Data Center" xr:uid="{D08ABFE2-3EC9-4BA3-856D-1381482E017D}"/>
    <hyperlink ref="H3:J3" location="Home!A1" display="Home" xr:uid="{17F630F1-7D11-462A-B499-1C067C1298BF}"/>
    <hyperlink ref="K3:M3" location="Scheduling!A1" display="Scheduling" xr:uid="{755965CD-0B7B-448E-8613-E61AA4707875}"/>
    <hyperlink ref="N3:P3" location="Grades!A1" display="Grades" xr:uid="{6C1BA6E0-797D-40A0-8E0E-E897F679D1D7}"/>
    <hyperlink ref="Q40:S40" location="'Data Center'!A1" display="Data Center" xr:uid="{6FF0B99B-9BB2-4A97-B3F2-104752C1EA1D}"/>
    <hyperlink ref="H40:J40" location="Home!A1" display="Home" xr:uid="{E11EE706-B7AB-411B-871F-F799451353B1}"/>
    <hyperlink ref="K40:M40" location="Scheduling!A1" display="Scheduling" xr:uid="{BD62CC18-33EC-433A-BCB3-491A5CB29A7E}"/>
    <hyperlink ref="N40:P40" location="Grades!A1" display="Grades" xr:uid="{2748F6F7-92EA-4F82-87B5-98BE88F5DA18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eleteGrade">
          <controlPr defaultSize="0" autoLine="0" r:id="rId4">
            <anchor moveWithCells="1">
              <from>
                <xdr:col>26</xdr:col>
                <xdr:colOff>50800</xdr:colOff>
                <xdr:row>5</xdr:row>
                <xdr:rowOff>50800</xdr:rowOff>
              </from>
              <to>
                <xdr:col>29</xdr:col>
                <xdr:colOff>508000</xdr:colOff>
                <xdr:row>10</xdr:row>
                <xdr:rowOff>107950</xdr:rowOff>
              </to>
            </anchor>
          </controlPr>
        </control>
      </mc:Choice>
      <mc:Fallback>
        <control shapeId="3074" r:id="rId3" name="DeleteGrade"/>
      </mc:Fallback>
    </mc:AlternateContent>
    <mc:AlternateContent xmlns:mc="http://schemas.openxmlformats.org/markup-compatibility/2006">
      <mc:Choice Requires="x14">
        <control shapeId="3073" r:id="rId5" name="Button 1">
          <controlPr defaultSize="0" print="0" autoFill="0" autoPict="0" macro="[0]!Sheet3.openAddGrades">
            <anchor moveWithCells="1" sizeWithCells="1">
              <from>
                <xdr:col>26</xdr:col>
                <xdr:colOff>82550</xdr:colOff>
                <xdr:row>0</xdr:row>
                <xdr:rowOff>120650</xdr:rowOff>
              </from>
              <to>
                <xdr:col>29</xdr:col>
                <xdr:colOff>539750</xdr:colOff>
                <xdr:row>4</xdr:row>
                <xdr:rowOff>120650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9311-D7CB-4C0F-841D-C11CB368CE2C}">
  <sheetPr codeName="Sheet4"/>
  <dimension ref="A1:Z45"/>
  <sheetViews>
    <sheetView topLeftCell="A2" zoomScale="53" workbookViewId="0">
      <selection activeCell="N3" sqref="N3:P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48" t="s">
        <v>65</v>
      </c>
      <c r="L1" s="48"/>
      <c r="M1" s="48"/>
      <c r="N1" s="48"/>
      <c r="O1" s="48"/>
      <c r="P1" s="48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48"/>
      <c r="L2" s="48"/>
      <c r="M2" s="48"/>
      <c r="N2" s="48"/>
      <c r="O2" s="48"/>
      <c r="P2" s="48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49" t="s">
        <v>0</v>
      </c>
      <c r="I3" s="49"/>
      <c r="J3" s="49"/>
      <c r="K3" s="50" t="s">
        <v>1</v>
      </c>
      <c r="L3" s="51"/>
      <c r="M3" s="51"/>
      <c r="N3" s="49" t="s">
        <v>2</v>
      </c>
      <c r="O3" s="53"/>
      <c r="P3" s="53"/>
      <c r="Q3" s="52" t="s">
        <v>3</v>
      </c>
      <c r="R3" s="52"/>
      <c r="S3" s="52"/>
      <c r="T3" s="1"/>
      <c r="U3" s="1"/>
      <c r="V3" s="1"/>
      <c r="W3" s="1"/>
      <c r="X3" s="1"/>
      <c r="Y3" s="1"/>
      <c r="Z3" s="1"/>
    </row>
    <row r="4" spans="1:26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3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3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3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0.3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0.3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0.3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0.3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ht="18.5" x14ac:dyDescent="0.45">
      <c r="A45" s="1"/>
      <c r="B45" s="1"/>
      <c r="C45" s="1"/>
      <c r="D45" s="1"/>
      <c r="E45" s="1"/>
      <c r="F45" s="1"/>
      <c r="G45" s="1"/>
      <c r="H45" s="49" t="s">
        <v>0</v>
      </c>
      <c r="I45" s="49"/>
      <c r="J45" s="49"/>
      <c r="K45" s="50" t="s">
        <v>1</v>
      </c>
      <c r="L45" s="51"/>
      <c r="M45" s="51"/>
      <c r="N45" s="49" t="s">
        <v>2</v>
      </c>
      <c r="O45" s="53"/>
      <c r="P45" s="53"/>
      <c r="Q45" s="52" t="s">
        <v>3</v>
      </c>
      <c r="R45" s="52"/>
      <c r="S45" s="52"/>
      <c r="T45" s="1"/>
      <c r="U45" s="1"/>
      <c r="V45" s="1"/>
      <c r="W45" s="1"/>
      <c r="X45" s="1"/>
      <c r="Y45" s="1"/>
      <c r="Z45" s="1"/>
    </row>
  </sheetData>
  <mergeCells count="9">
    <mergeCell ref="H45:J45"/>
    <mergeCell ref="K45:M45"/>
    <mergeCell ref="N45:P45"/>
    <mergeCell ref="Q45:S45"/>
    <mergeCell ref="K1:P2"/>
    <mergeCell ref="H3:J3"/>
    <mergeCell ref="K3:M3"/>
    <mergeCell ref="N3:P3"/>
    <mergeCell ref="Q3:S3"/>
  </mergeCells>
  <hyperlinks>
    <hyperlink ref="Q3:S3" location="'Data Center'!A1" display="Data Center" xr:uid="{B5D29D85-491E-424E-8429-050FD2F26C63}"/>
    <hyperlink ref="H3:J3" location="Home!A1" display="Home" xr:uid="{CD4F47CF-D18B-441F-B585-86BA0285B16E}"/>
    <hyperlink ref="K3:M3" location="Scheduling!A1" display="Scheduling" xr:uid="{6E07806E-301F-459D-9D0A-7EB57F2298C3}"/>
    <hyperlink ref="N3:P3" location="Grades!A1" display="Grades" xr:uid="{69A7C761-0E68-4D9E-AB19-C55E60F20175}"/>
    <hyperlink ref="Q45:S45" location="'Data Center'!A1" display="Data Center" xr:uid="{1075DF04-3398-4841-B6F7-5F6369B78829}"/>
    <hyperlink ref="H45:J45" location="Home!A1" display="Home" xr:uid="{8F6416B6-16FB-44AF-82A2-809C2CBBDC37}"/>
    <hyperlink ref="K45:M45" location="Scheduling!A1" display="Scheduling" xr:uid="{77083A18-DC0D-44AF-BC05-A547E7B06AF7}"/>
    <hyperlink ref="N45:P45" location="Grades!A1" display="Grades" xr:uid="{B1A9F2FF-FBA6-4098-922A-A09D4664EDE3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5C238D881DC541A1D58CDB4F167707" ma:contentTypeVersion="7" ma:contentTypeDescription="Create a new document." ma:contentTypeScope="" ma:versionID="3a4c5b126842309b0b0bed9d972b34a3">
  <xsd:schema xmlns:xsd="http://www.w3.org/2001/XMLSchema" xmlns:xs="http://www.w3.org/2001/XMLSchema" xmlns:p="http://schemas.microsoft.com/office/2006/metadata/properties" xmlns:ns3="f1098f1b-2cc9-4792-8365-7a4139022a95" xmlns:ns4="91a803b0-f42f-4fea-b104-beab323e8ec4" targetNamespace="http://schemas.microsoft.com/office/2006/metadata/properties" ma:root="true" ma:fieldsID="41dde7088c76f3557dd7961f3178b4f4" ns3:_="" ns4:_="">
    <xsd:import namespace="f1098f1b-2cc9-4792-8365-7a4139022a95"/>
    <xsd:import namespace="91a803b0-f42f-4fea-b104-beab323e8ec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098f1b-2cc9-4792-8365-7a4139022a9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803b0-f42f-4fea-b104-beab323e8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6BC2A6-6F93-46C3-A030-E318F3B622D4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91a803b0-f42f-4fea-b104-beab323e8ec4"/>
    <ds:schemaRef ds:uri="http://purl.org/dc/terms/"/>
    <ds:schemaRef ds:uri="http://schemas.openxmlformats.org/package/2006/metadata/core-properties"/>
    <ds:schemaRef ds:uri="f1098f1b-2cc9-4792-8365-7a4139022a95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378A82F-CE3B-4D70-9E5F-83DA721D90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D4DA9C-E1B6-4C3E-AC70-B07E355A4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098f1b-2cc9-4792-8365-7a4139022a95"/>
    <ds:schemaRef ds:uri="91a803b0-f42f-4fea-b104-beab323e8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Scheduling</vt:lpstr>
      <vt:lpstr>Grades</vt:lpstr>
      <vt:lpstr>Data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Ved</dc:creator>
  <cp:lastModifiedBy>A Ved</cp:lastModifiedBy>
  <dcterms:created xsi:type="dcterms:W3CDTF">2020-11-05T22:54:10Z</dcterms:created>
  <dcterms:modified xsi:type="dcterms:W3CDTF">2020-12-04T20:46:55Z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0x010100525C238D881DC541A1D58CDB4F167707</vt:lpwstr>
  </property>
</Properties>
</file>